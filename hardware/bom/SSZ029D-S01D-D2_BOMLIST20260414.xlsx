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work\IPC\I6D\I6DW\AI_Glass\Demo\BGA8x9_5\Comake D2 开发\"/>
    </mc:Choice>
  </mc:AlternateContent>
  <bookViews>
    <workbookView xWindow="0" yWindow="0" windowWidth="21570" windowHeight="8145"/>
  </bookViews>
  <sheets>
    <sheet name="SSZ029D-S01C-D2_BOMLIST" sheetId="1" r:id="rId1"/>
    <sheet name="NC" sheetId="2" r:id="rId2"/>
  </sheets>
  <calcPr calcId="162913"/>
</workbook>
</file>

<file path=xl/calcChain.xml><?xml version="1.0" encoding="utf-8"?>
<calcChain xmlns="http://schemas.openxmlformats.org/spreadsheetml/2006/main">
  <c r="F15" i="1" l="1"/>
  <c r="F79" i="1" l="1"/>
  <c r="F75" i="1"/>
  <c r="F65" i="1" l="1"/>
  <c r="F44" i="1" l="1"/>
  <c r="F23" i="1" l="1"/>
  <c r="F27" i="1"/>
  <c r="F9" i="1"/>
  <c r="F4" i="1" l="1"/>
  <c r="F5" i="1"/>
  <c r="F7" i="1"/>
  <c r="F6" i="1"/>
  <c r="F8" i="1"/>
  <c r="F10" i="1"/>
  <c r="F12" i="1"/>
  <c r="F11" i="1"/>
  <c r="F14" i="1"/>
  <c r="F50" i="1"/>
  <c r="F49" i="1"/>
  <c r="F26" i="1"/>
  <c r="F55" i="1"/>
  <c r="F13" i="1"/>
  <c r="F39" i="1"/>
  <c r="F40" i="1"/>
  <c r="F33" i="1"/>
  <c r="F16" i="1"/>
  <c r="F28" i="1"/>
  <c r="F29" i="1"/>
  <c r="F35" i="1"/>
  <c r="F36" i="1"/>
  <c r="F37" i="1"/>
  <c r="F17" i="1"/>
  <c r="F56" i="1"/>
  <c r="F47" i="1"/>
  <c r="F22" i="1"/>
  <c r="F20" i="1"/>
  <c r="F24" i="1"/>
  <c r="F25" i="1"/>
  <c r="F21" i="1"/>
  <c r="F18" i="1"/>
  <c r="F30" i="1"/>
  <c r="F48" i="1"/>
  <c r="F43" i="1"/>
  <c r="F38" i="1"/>
  <c r="F46" i="1"/>
  <c r="F19" i="1"/>
  <c r="F45" i="1"/>
  <c r="F57" i="1"/>
  <c r="F58" i="1"/>
  <c r="F59" i="1"/>
  <c r="F60" i="1"/>
  <c r="F53" i="1"/>
  <c r="F54" i="1"/>
  <c r="F61" i="1"/>
  <c r="F62" i="1"/>
  <c r="F63" i="1"/>
  <c r="F64" i="1"/>
  <c r="F42" i="1"/>
  <c r="F41" i="1"/>
  <c r="F34" i="1"/>
  <c r="F32" i="1"/>
  <c r="F31" i="1"/>
  <c r="F66" i="1"/>
  <c r="F51" i="1"/>
  <c r="F52" i="1"/>
  <c r="F3" i="1"/>
</calcChain>
</file>

<file path=xl/sharedStrings.xml><?xml version="1.0" encoding="utf-8"?>
<sst xmlns="http://schemas.openxmlformats.org/spreadsheetml/2006/main" count="332" uniqueCount="227">
  <si>
    <t>Item</t>
  </si>
  <si>
    <t>Part</t>
  </si>
  <si>
    <t>PCB Footprint</t>
  </si>
  <si>
    <t>Reference</t>
  </si>
  <si>
    <t>Quantity</t>
  </si>
  <si>
    <t>______________________________________________</t>
  </si>
  <si>
    <t>C0201</t>
  </si>
  <si>
    <t>C0402</t>
  </si>
  <si>
    <t>2.2uF</t>
  </si>
  <si>
    <t>C01005</t>
  </si>
  <si>
    <t>4.7uF/10V/X5R</t>
  </si>
  <si>
    <t>1uF/10V/X5R</t>
  </si>
  <si>
    <t>NC</t>
  </si>
  <si>
    <t>Minii-RF</t>
  </si>
  <si>
    <t>MC3</t>
  </si>
  <si>
    <t>NC/10K</t>
  </si>
  <si>
    <t>R01005</t>
  </si>
  <si>
    <t>MR1,R876,R877</t>
  </si>
  <si>
    <t>10K</t>
  </si>
  <si>
    <t>IC-0.5MM153P-FBGA-S</t>
  </si>
  <si>
    <t>NC/100nF</t>
  </si>
  <si>
    <t>PC29,PC38,PC73,PC95,PC109</t>
  </si>
  <si>
    <t>PC84,PC85</t>
  </si>
  <si>
    <t>PIM160808</t>
  </si>
  <si>
    <t>PIM201208</t>
  </si>
  <si>
    <t>R0201</t>
  </si>
  <si>
    <t>20K_1%</t>
  </si>
  <si>
    <t>PR108,PR135</t>
  </si>
  <si>
    <t>40K_1%</t>
  </si>
  <si>
    <t>PR109,PR137</t>
  </si>
  <si>
    <t>1M_1%</t>
  </si>
  <si>
    <t>PR126,PR130,PR141</t>
  </si>
  <si>
    <t>1.2M_1%</t>
  </si>
  <si>
    <t>PR132</t>
  </si>
  <si>
    <t>2M_1%</t>
  </si>
  <si>
    <t>TMI3181D</t>
  </si>
  <si>
    <t>DFN1.6</t>
  </si>
  <si>
    <t>DFN1006</t>
  </si>
  <si>
    <t>240/1%</t>
  </si>
  <si>
    <t>RM18</t>
  </si>
  <si>
    <t>80.6/1%</t>
  </si>
  <si>
    <t>RM19</t>
  </si>
  <si>
    <t>TWR54,R89</t>
  </si>
  <si>
    <t>3.3K</t>
  </si>
  <si>
    <t>R91,R96</t>
  </si>
  <si>
    <t>R165</t>
  </si>
  <si>
    <t>100R</t>
  </si>
  <si>
    <t>100K</t>
  </si>
  <si>
    <t>NC/30pF</t>
  </si>
  <si>
    <t>SC3,SC4</t>
  </si>
  <si>
    <t>SMD-28-DS</t>
  </si>
  <si>
    <t>TWC5,TWC7,TWC57,TWC59,TWC60,TWC61,TWC68,TWC69,TWC70</t>
  </si>
  <si>
    <t>33pF</t>
  </si>
  <si>
    <t>1pF</t>
  </si>
  <si>
    <t>TWC52,TWC54,TWC55</t>
  </si>
  <si>
    <t>L0201</t>
  </si>
  <si>
    <t>PIM100608</t>
  </si>
  <si>
    <t>SE_OUT</t>
  </si>
  <si>
    <t>TP-0_8MM</t>
  </si>
  <si>
    <t>TWP4</t>
  </si>
  <si>
    <t>22R</t>
  </si>
  <si>
    <t>WR10,WR11,WR12,WR13,WR14,WR15,TWR18</t>
  </si>
  <si>
    <t>1K@100M</t>
  </si>
  <si>
    <t>WTS</t>
  </si>
  <si>
    <t>WQ7036A/AX</t>
  </si>
  <si>
    <t>SSC309QL</t>
  </si>
  <si>
    <t>IC-242P-P05-8X9.5</t>
  </si>
  <si>
    <t>AW35753</t>
  </si>
  <si>
    <t>WLCSP-12</t>
  </si>
  <si>
    <t>AW88082</t>
  </si>
  <si>
    <t>FC9</t>
  </si>
  <si>
    <t>BT ANT</t>
  </si>
  <si>
    <t>YF1608</t>
  </si>
  <si>
    <t>OPT3004</t>
  </si>
  <si>
    <t>DNP-6</t>
  </si>
  <si>
    <t>AW39114</t>
  </si>
  <si>
    <t>FOWLP</t>
  </si>
  <si>
    <t>WLCSP0.87X0.87</t>
  </si>
  <si>
    <t>TMI6038D-28</t>
  </si>
  <si>
    <t>DFN1X1</t>
  </si>
  <si>
    <t>ETA5055V105DD1E</t>
  </si>
  <si>
    <t>1.2pF/0201</t>
  </si>
  <si>
    <t>WC11</t>
  </si>
  <si>
    <t>0.5pF/0201</t>
  </si>
  <si>
    <t>WC12</t>
  </si>
  <si>
    <t>2.7nH</t>
  </si>
  <si>
    <t>1nH</t>
  </si>
  <si>
    <t>1M</t>
  </si>
  <si>
    <t>WR1</t>
  </si>
  <si>
    <t>200K/1%</t>
  </si>
  <si>
    <t>150K/1%</t>
  </si>
  <si>
    <t>NC/22R</t>
  </si>
  <si>
    <t>WR16</t>
  </si>
  <si>
    <t>SSW118GE</t>
  </si>
  <si>
    <t>QFN60-5X5-04MM-S</t>
  </si>
  <si>
    <t>Name</t>
    <phoneticPr fontId="18" type="noConversion"/>
  </si>
  <si>
    <t>供应商</t>
    <phoneticPr fontId="18" type="noConversion"/>
  </si>
  <si>
    <t>联系方式</t>
    <phoneticPr fontId="18" type="noConversion"/>
  </si>
  <si>
    <t>C521</t>
    <phoneticPr fontId="18" type="noConversion"/>
  </si>
  <si>
    <t>C532,C533</t>
    <phoneticPr fontId="18" type="noConversion"/>
  </si>
  <si>
    <t>NC/2.2uF_6.3V</t>
    <phoneticPr fontId="18" type="noConversion"/>
  </si>
  <si>
    <t>10pF</t>
    <phoneticPr fontId="18" type="noConversion"/>
  </si>
  <si>
    <t>PC37,PC94,PC102,PC104,PC105,PC108</t>
    <phoneticPr fontId="18" type="noConversion"/>
  </si>
  <si>
    <t>445K_1%</t>
    <phoneticPr fontId="18" type="noConversion"/>
  </si>
  <si>
    <t>0R</t>
    <phoneticPr fontId="18" type="noConversion"/>
  </si>
  <si>
    <t>4.7K</t>
    <phoneticPr fontId="18" type="noConversion"/>
  </si>
  <si>
    <t>TR27,SR62,SR63,R650,R651,R938</t>
    <phoneticPr fontId="18" type="noConversion"/>
  </si>
  <si>
    <t>TWC23</t>
    <phoneticPr fontId="18" type="noConversion"/>
  </si>
  <si>
    <t>18nH It 200mA</t>
    <phoneticPr fontId="18" type="noConversion"/>
  </si>
  <si>
    <t>TWL1,TWL3,TWL5</t>
    <phoneticPr fontId="18" type="noConversion"/>
  </si>
  <si>
    <t>0.1uF/10V/X7R</t>
    <phoneticPr fontId="18" type="noConversion"/>
  </si>
  <si>
    <t>C116,C118,C123,C157,C159,C174,C178,C211,C227,C239,C413,C444,C965,C995,C1021,C1032,C1036,C1038,C1043,C1045,MC7,TWC12,MC12,PC16,TWC17,PC17,WC21,PC25,PC33,PC36,TWC58,PC66,PC68,TWC71,PC71,PC78,PC88,PC93,PC98,PC101,PC111,PC113,PC117,PC119,PC121,PC123,PC125,WC13,WC24,WC26,C103,MC2</t>
    <phoneticPr fontId="18" type="noConversion"/>
  </si>
  <si>
    <t>C2,C127,C236,C1022,PC14,C102,C230,C994,C1044,MC1,MC4</t>
    <phoneticPr fontId="18" type="noConversion"/>
  </si>
  <si>
    <t>2.2uF/10V/X5R</t>
    <phoneticPr fontId="18" type="noConversion"/>
  </si>
  <si>
    <t>PC27,PC70,C1019,C1035,C136,C497,C964,C176,C1042,MC10,PC13,TWC24,TWC25,TWC26,PC7,SC6,SC8,SC10,SC11,SC13,TWC56</t>
    <phoneticPr fontId="18" type="noConversion"/>
  </si>
  <si>
    <t>10uF/10V/X5R</t>
    <phoneticPr fontId="18" type="noConversion"/>
  </si>
  <si>
    <t>贴片电容</t>
    <phoneticPr fontId="18" type="noConversion"/>
  </si>
  <si>
    <t>PR105,PR107,PR113,PR123,PR129,PR134,PR136,PR142,R166</t>
    <phoneticPr fontId="18" type="noConversion"/>
  </si>
  <si>
    <t>0R_1%</t>
    <phoneticPr fontId="18" type="noConversion"/>
  </si>
  <si>
    <t>PR140</t>
    <phoneticPr fontId="18" type="noConversion"/>
  </si>
  <si>
    <t>贴片电阻</t>
    <phoneticPr fontId="18" type="noConversion"/>
  </si>
  <si>
    <t>WR9</t>
    <phoneticPr fontId="18" type="noConversion"/>
  </si>
  <si>
    <t>WR8</t>
    <phoneticPr fontId="18" type="noConversion"/>
  </si>
  <si>
    <t>PR10</t>
    <phoneticPr fontId="18" type="noConversion"/>
  </si>
  <si>
    <t>MWTC160808S2R2 2.2uH  1.2A</t>
    <phoneticPr fontId="18" type="noConversion"/>
  </si>
  <si>
    <t>SDHK100608HA4RTMTY01 4.7uH 0.5A</t>
    <phoneticPr fontId="18" type="noConversion"/>
  </si>
  <si>
    <t>SDHK1608HB100MT 2.2uH  2.3A</t>
  </si>
  <si>
    <t>AW402010/PNM3FD20V2</t>
    <phoneticPr fontId="18" type="noConversion"/>
  </si>
  <si>
    <t>PMOS_VGSth&lt;1.8V/AW402030</t>
    <phoneticPr fontId="18" type="noConversion"/>
  </si>
  <si>
    <t>贴片晶体</t>
    <phoneticPr fontId="18" type="noConversion"/>
  </si>
  <si>
    <t>EMMC</t>
    <phoneticPr fontId="18" type="noConversion"/>
  </si>
  <si>
    <t>DCDC</t>
    <phoneticPr fontId="18" type="noConversion"/>
  </si>
  <si>
    <t>TWS IC</t>
    <phoneticPr fontId="18" type="noConversion"/>
  </si>
  <si>
    <t>ISP</t>
    <phoneticPr fontId="18" type="noConversion"/>
  </si>
  <si>
    <t>USB Switch</t>
    <phoneticPr fontId="18" type="noConversion"/>
  </si>
  <si>
    <t>数字功放</t>
    <phoneticPr fontId="18" type="noConversion"/>
  </si>
  <si>
    <t>光敏IC</t>
    <phoneticPr fontId="18" type="noConversion"/>
  </si>
  <si>
    <t>LS IC</t>
    <phoneticPr fontId="18" type="noConversion"/>
  </si>
  <si>
    <t>ETA7027CSE</t>
    <phoneticPr fontId="18" type="noConversion"/>
  </si>
  <si>
    <t>Loadswitch</t>
    <phoneticPr fontId="18" type="noConversion"/>
  </si>
  <si>
    <t>LDO</t>
    <phoneticPr fontId="18" type="noConversion"/>
  </si>
  <si>
    <t>WIFI</t>
    <phoneticPr fontId="18" type="noConversion"/>
  </si>
  <si>
    <t>PR138,PR139</t>
    <phoneticPr fontId="18" type="noConversion"/>
  </si>
  <si>
    <t>TWL2,TWL4,TWL6</t>
    <phoneticPr fontId="18" type="noConversion"/>
  </si>
  <si>
    <t>WL2</t>
    <phoneticPr fontId="18" type="noConversion"/>
  </si>
  <si>
    <t>WL1</t>
    <phoneticPr fontId="18" type="noConversion"/>
  </si>
  <si>
    <t>TWR19,TWR20</t>
    <phoneticPr fontId="18" type="noConversion"/>
  </si>
  <si>
    <t>TWQ3</t>
    <phoneticPr fontId="18" type="noConversion"/>
  </si>
  <si>
    <t>TWQ1,TWQ2,TWQ4,TWQ11,TWQ12,TWQ13,TWQ14,TWQ15,TWQ19,Q30</t>
    <phoneticPr fontId="18" type="noConversion"/>
  </si>
  <si>
    <t>SJ3,SJ4,SJ0</t>
    <phoneticPr fontId="18" type="noConversion"/>
  </si>
  <si>
    <t>J1</t>
    <phoneticPr fontId="18" type="noConversion"/>
  </si>
  <si>
    <t>JT1</t>
    <phoneticPr fontId="18" type="noConversion"/>
  </si>
  <si>
    <t>Y2</t>
    <phoneticPr fontId="18" type="noConversion"/>
  </si>
  <si>
    <t>U4</t>
    <phoneticPr fontId="18" type="noConversion"/>
  </si>
  <si>
    <t>MU1</t>
    <phoneticPr fontId="18" type="noConversion"/>
  </si>
  <si>
    <t>PU3,PU8,PU9,PU10,PU11,PU12,PU13</t>
    <phoneticPr fontId="18" type="noConversion"/>
  </si>
  <si>
    <t>TWU1</t>
    <phoneticPr fontId="18" type="noConversion"/>
  </si>
  <si>
    <t>U1</t>
    <phoneticPr fontId="18" type="noConversion"/>
  </si>
  <si>
    <t>U2</t>
    <phoneticPr fontId="18" type="noConversion"/>
  </si>
  <si>
    <t>U3</t>
    <phoneticPr fontId="18" type="noConversion"/>
  </si>
  <si>
    <t>U5</t>
    <phoneticPr fontId="18" type="noConversion"/>
  </si>
  <si>
    <t>U7</t>
    <phoneticPr fontId="18" type="noConversion"/>
  </si>
  <si>
    <t>U9,U13,U15,U16,U19,U20,U21,U22,U23</t>
    <phoneticPr fontId="18" type="noConversion"/>
  </si>
  <si>
    <t>U12</t>
    <phoneticPr fontId="18" type="noConversion"/>
  </si>
  <si>
    <t>U14</t>
    <phoneticPr fontId="18" type="noConversion"/>
  </si>
  <si>
    <t>WU1</t>
    <phoneticPr fontId="18" type="noConversion"/>
  </si>
  <si>
    <t>贴片蓝牙天线</t>
    <phoneticPr fontId="18" type="noConversion"/>
  </si>
  <si>
    <t>miniwifi天线座子</t>
    <phoneticPr fontId="18" type="noConversion"/>
  </si>
  <si>
    <t>IPEX4</t>
    <phoneticPr fontId="18" type="noConversion"/>
  </si>
  <si>
    <t>USB3.0座子</t>
    <phoneticPr fontId="18" type="noConversion"/>
  </si>
  <si>
    <t>24pin贴片母座</t>
    <phoneticPr fontId="18" type="noConversion"/>
  </si>
  <si>
    <t>贴片电感</t>
    <phoneticPr fontId="18" type="noConversion"/>
  </si>
  <si>
    <t>贴片磁珠</t>
    <phoneticPr fontId="18" type="noConversion"/>
  </si>
  <si>
    <t>PMOS</t>
    <phoneticPr fontId="18" type="noConversion"/>
  </si>
  <si>
    <t>NMOS</t>
    <phoneticPr fontId="18" type="noConversion"/>
  </si>
  <si>
    <t>金士顿/佰维/SCY/江波龙</t>
    <phoneticPr fontId="18" type="noConversion"/>
  </si>
  <si>
    <t>拓尔</t>
    <phoneticPr fontId="18" type="noConversion"/>
  </si>
  <si>
    <t>物琪</t>
    <phoneticPr fontId="18" type="noConversion"/>
  </si>
  <si>
    <t>SIGMA</t>
    <phoneticPr fontId="18" type="noConversion"/>
  </si>
  <si>
    <t>艾为</t>
    <phoneticPr fontId="18" type="noConversion"/>
  </si>
  <si>
    <t>ETA</t>
    <phoneticPr fontId="18" type="noConversion"/>
  </si>
  <si>
    <t>WL4</t>
    <phoneticPr fontId="18" type="noConversion"/>
  </si>
  <si>
    <t>PL6,PL8,PL9,PL10,PL7,PL11</t>
    <phoneticPr fontId="18" type="noConversion"/>
  </si>
  <si>
    <t>24M8PI-1.6X1.2</t>
    <phoneticPr fontId="18" type="noConversion"/>
  </si>
  <si>
    <t>8pF</t>
    <phoneticPr fontId="18" type="noConversion"/>
  </si>
  <si>
    <t>32M8PI-1.6X1.2</t>
    <phoneticPr fontId="18" type="noConversion"/>
  </si>
  <si>
    <t>Crystal/[24MHz,8pF,∮10ppm]; /XT114-10</t>
    <phoneticPr fontId="18" type="noConversion"/>
  </si>
  <si>
    <t>裕中科技</t>
    <phoneticPr fontId="18" type="noConversion"/>
  </si>
  <si>
    <t>Y1,X2</t>
    <phoneticPr fontId="18" type="noConversion"/>
  </si>
  <si>
    <t>Crystal/[32MHz,8pF,∮10ppm]/XT114-10</t>
    <phoneticPr fontId="18" type="noConversion"/>
  </si>
  <si>
    <t>PC103,PC38</t>
    <phoneticPr fontId="18" type="noConversion"/>
  </si>
  <si>
    <t>USB-24P-9_95-C</t>
    <phoneticPr fontId="18" type="noConversion"/>
  </si>
  <si>
    <t>USB_TypeC_Part No: USB-24P-9_95-C</t>
    <phoneticPr fontId="18" type="noConversion"/>
  </si>
  <si>
    <t>R933,R934,R1574,PR145,PR146</t>
    <phoneticPr fontId="18" type="noConversion"/>
  </si>
  <si>
    <t>增加两个</t>
    <phoneticPr fontId="18" type="noConversion"/>
  </si>
  <si>
    <t>10nF</t>
    <phoneticPr fontId="18" type="noConversion"/>
  </si>
  <si>
    <t>C01005</t>
    <phoneticPr fontId="18" type="noConversion"/>
  </si>
  <si>
    <t>PC127</t>
    <phoneticPr fontId="18" type="noConversion"/>
  </si>
  <si>
    <t>新增</t>
    <phoneticPr fontId="18" type="noConversion"/>
  </si>
  <si>
    <t>12.4K%1</t>
    <phoneticPr fontId="18" type="noConversion"/>
  </si>
  <si>
    <t>R01005</t>
    <phoneticPr fontId="18" type="noConversion"/>
  </si>
  <si>
    <t>PR147</t>
    <phoneticPr fontId="18" type="noConversion"/>
  </si>
  <si>
    <t>3K%1</t>
    <phoneticPr fontId="18" type="noConversion"/>
  </si>
  <si>
    <t>PR148</t>
    <phoneticPr fontId="18" type="noConversion"/>
  </si>
  <si>
    <t>新增2</t>
    <phoneticPr fontId="18" type="noConversion"/>
  </si>
  <si>
    <t>PC67,C179,C180,C1025,C177,C237,C297,C1034,C1037,C1041,PC112,PC122,PC126,C973,MC11,WC1,TWC1,TWC2,TWC3,TWC4,WC5,SC5,WC6,TWC6,WC7,SC7,WC8,TWC8,WC9,TWC9,SC9,WC10,TWC10,TWC11,SC12,TWC13,SC14,WC15,WC16,TWC16,WC17,TWC18,PC18,TWC19,TWC20,PC20,TWC21,PC21,PC22,PC30,PC31,PC32,PC76,PC83,PC97,C496,C1024</t>
    <phoneticPr fontId="18" type="noConversion"/>
  </si>
  <si>
    <t xml:space="preserve">60R </t>
    <phoneticPr fontId="18" type="noConversion"/>
  </si>
  <si>
    <t>L0201</t>
    <phoneticPr fontId="18" type="noConversion"/>
  </si>
  <si>
    <t>FB1</t>
    <phoneticPr fontId="18" type="noConversion"/>
  </si>
  <si>
    <t>新增5</t>
    <phoneticPr fontId="18" type="noConversion"/>
  </si>
  <si>
    <t>LDO</t>
    <phoneticPr fontId="18" type="noConversion"/>
  </si>
  <si>
    <t>TMI6011</t>
    <phoneticPr fontId="18" type="noConversion"/>
  </si>
  <si>
    <t>DFN3X3</t>
    <phoneticPr fontId="18" type="noConversion"/>
  </si>
  <si>
    <t>PU14</t>
    <phoneticPr fontId="18" type="noConversion"/>
  </si>
  <si>
    <t>拓尔</t>
    <phoneticPr fontId="18" type="noConversion"/>
  </si>
  <si>
    <t>TWR1,WR2,TWR2,MR2,TWR3,SR3,TWR4,SR4,TR28,TWR33,TWR34,TWR43,TWR53,TWR55,TWR56,TWR57,PR143,PR144,R892,R893,R936</t>
    <phoneticPr fontId="18" type="noConversion"/>
  </si>
  <si>
    <t>WR17,WR18,R878,R879,R935</t>
    <phoneticPr fontId="18" type="noConversion"/>
  </si>
  <si>
    <t>删除如下位号物料</t>
    <phoneticPr fontId="18" type="noConversion"/>
  </si>
  <si>
    <t>差异化BOM：音频走SSC309QL</t>
    <phoneticPr fontId="18" type="noConversion"/>
  </si>
  <si>
    <t>R1576,R1577,R1579,R1581</t>
    <phoneticPr fontId="18" type="noConversion"/>
  </si>
  <si>
    <t>增加如下位号物料</t>
    <phoneticPr fontId="18" type="noConversion"/>
  </si>
  <si>
    <t>R1575,R1578,R1580</t>
    <phoneticPr fontId="18" type="noConversion"/>
  </si>
  <si>
    <t>C124,C160,C161,C3,PC26,PC34,PC69,PC79,PC99,C1033,C228,PC8,PC5,PC6,TWC22,WC14,WC20,WC23,WC25,PC35,PC92,PC100</t>
    <phoneticPr fontId="18" type="noConversion"/>
  </si>
  <si>
    <t>SR26,SR27,SR28,SR55,SR59,SR60,SR61,R904,R937,SR17,SR18,PR150,R1576,R1577,R1579,R1581</t>
    <phoneticPr fontId="18" type="noConversion"/>
  </si>
  <si>
    <t>PR150增加</t>
    <phoneticPr fontId="18" type="noConversion"/>
  </si>
  <si>
    <t>BWCTL0211X32G/FEM6NN064G-A3N14</t>
    <phoneticPr fontId="18" type="noConversion"/>
  </si>
  <si>
    <t>BK13C06-24DS/2-0.35V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</si>
</sst>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33" borderId="11" xfId="0" applyFill="1" applyBorder="1" applyAlignment="1">
      <alignment horizontal="center" vertical="center"/>
    </xf>
    <xf numFmtId="0" fontId="0" fillId="33" borderId="11" xfId="0" applyFill="1" applyBorder="1">
      <alignment vertical="center"/>
    </xf>
    <xf numFmtId="0" fontId="0" fillId="33" borderId="11" xfId="0" applyFill="1" applyBorder="1" applyAlignment="1">
      <alignment horizontal="left" vertical="center"/>
    </xf>
    <xf numFmtId="0" fontId="0" fillId="33" borderId="11" xfId="0" applyFill="1" applyBorder="1" applyAlignment="1">
      <alignment vertical="center" wrapText="1"/>
    </xf>
    <xf numFmtId="0" fontId="0" fillId="33" borderId="14" xfId="0" applyFill="1" applyBorder="1" applyAlignment="1">
      <alignment vertical="center"/>
    </xf>
    <xf numFmtId="0" fontId="0" fillId="34" borderId="11" xfId="0" applyFill="1" applyBorder="1" applyAlignment="1">
      <alignment horizontal="center" vertical="center"/>
    </xf>
    <xf numFmtId="0" fontId="0" fillId="34" borderId="11" xfId="0" applyFill="1" applyBorder="1">
      <alignment vertical="center"/>
    </xf>
    <xf numFmtId="0" fontId="0" fillId="34" borderId="11" xfId="0" applyFill="1" applyBorder="1" applyAlignment="1">
      <alignment vertical="center" wrapText="1"/>
    </xf>
    <xf numFmtId="0" fontId="0" fillId="34" borderId="0" xfId="0" applyFill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topLeftCell="A28" zoomScale="115" zoomScaleNormal="115" workbookViewId="0">
      <selection activeCell="D48" sqref="D48"/>
    </sheetView>
  </sheetViews>
  <sheetFormatPr defaultRowHeight="13.5" x14ac:dyDescent="0.15"/>
  <cols>
    <col min="1" max="1" width="7.5" style="5" customWidth="1"/>
    <col min="2" max="2" width="18.125" customWidth="1"/>
    <col min="3" max="3" width="71.25" style="6" customWidth="1"/>
    <col min="4" max="4" width="19.625" customWidth="1"/>
    <col min="5" max="5" width="69" style="7" customWidth="1"/>
    <col min="6" max="6" width="9" style="5"/>
    <col min="7" max="7" width="22.125" customWidth="1"/>
  </cols>
  <sheetData>
    <row r="1" spans="1:9" ht="14.25" thickBot="1" x14ac:dyDescent="0.2">
      <c r="A1" s="1" t="s">
        <v>0</v>
      </c>
      <c r="B1" s="2" t="s">
        <v>95</v>
      </c>
      <c r="C1" s="2" t="s">
        <v>1</v>
      </c>
      <c r="D1" s="3" t="s">
        <v>2</v>
      </c>
      <c r="E1" s="4" t="s">
        <v>3</v>
      </c>
      <c r="F1" s="1" t="s">
        <v>4</v>
      </c>
      <c r="G1" s="3" t="s">
        <v>96</v>
      </c>
      <c r="H1" s="3" t="s">
        <v>97</v>
      </c>
    </row>
    <row r="2" spans="1:9" x14ac:dyDescent="0.15">
      <c r="A2" s="5" t="s">
        <v>5</v>
      </c>
    </row>
    <row r="3" spans="1:9" x14ac:dyDescent="0.15">
      <c r="A3" s="8">
        <v>1</v>
      </c>
      <c r="B3" s="9" t="s">
        <v>116</v>
      </c>
      <c r="C3" s="9" t="s">
        <v>83</v>
      </c>
      <c r="D3" s="9" t="s">
        <v>6</v>
      </c>
      <c r="E3" s="9" t="s">
        <v>84</v>
      </c>
      <c r="F3" s="8">
        <f>LEN(E3)-LEN(SUBSTITUTE(E3,",",""))+1</f>
        <v>1</v>
      </c>
      <c r="G3" s="9"/>
      <c r="H3" s="9"/>
    </row>
    <row r="4" spans="1:9" x14ac:dyDescent="0.15">
      <c r="A4" s="8">
        <v>2</v>
      </c>
      <c r="B4" s="9" t="s">
        <v>116</v>
      </c>
      <c r="C4" s="9" t="s">
        <v>53</v>
      </c>
      <c r="D4" s="9" t="s">
        <v>9</v>
      </c>
      <c r="E4" s="9" t="s">
        <v>54</v>
      </c>
      <c r="F4" s="8">
        <f t="shared" ref="F4:F10" si="0">LEN(E4)-LEN(SUBSTITUTE(E4,",",""))+1</f>
        <v>3</v>
      </c>
      <c r="G4" s="9"/>
      <c r="H4" s="9"/>
    </row>
    <row r="5" spans="1:9" x14ac:dyDescent="0.15">
      <c r="A5" s="8">
        <v>3</v>
      </c>
      <c r="B5" s="9" t="s">
        <v>116</v>
      </c>
      <c r="C5" s="9" t="s">
        <v>81</v>
      </c>
      <c r="D5" s="9" t="s">
        <v>6</v>
      </c>
      <c r="E5" s="9" t="s">
        <v>82</v>
      </c>
      <c r="F5" s="8">
        <f t="shared" si="0"/>
        <v>1</v>
      </c>
      <c r="G5" s="9"/>
      <c r="H5" s="9"/>
    </row>
    <row r="6" spans="1:9" x14ac:dyDescent="0.15">
      <c r="A6" s="8">
        <v>4</v>
      </c>
      <c r="B6" s="9" t="s">
        <v>116</v>
      </c>
      <c r="C6" s="9" t="s">
        <v>184</v>
      </c>
      <c r="D6" s="9" t="s">
        <v>9</v>
      </c>
      <c r="E6" s="11" t="s">
        <v>99</v>
      </c>
      <c r="F6" s="8">
        <f>LEN(E6)-LEN(SUBSTITUTE(E6,",",""))+1</f>
        <v>2</v>
      </c>
      <c r="G6" s="9"/>
      <c r="H6" s="9"/>
    </row>
    <row r="7" spans="1:9" x14ac:dyDescent="0.15">
      <c r="A7" s="8">
        <v>5</v>
      </c>
      <c r="B7" s="9" t="s">
        <v>116</v>
      </c>
      <c r="C7" s="9" t="s">
        <v>101</v>
      </c>
      <c r="D7" s="9" t="s">
        <v>9</v>
      </c>
      <c r="E7" s="11" t="s">
        <v>102</v>
      </c>
      <c r="F7" s="8">
        <f t="shared" si="0"/>
        <v>6</v>
      </c>
      <c r="G7" s="9"/>
      <c r="H7" s="9"/>
    </row>
    <row r="8" spans="1:9" x14ac:dyDescent="0.15">
      <c r="A8" s="8">
        <v>6</v>
      </c>
      <c r="B8" s="9" t="s">
        <v>116</v>
      </c>
      <c r="C8" s="9" t="s">
        <v>52</v>
      </c>
      <c r="D8" s="9" t="s">
        <v>9</v>
      </c>
      <c r="E8" s="11" t="s">
        <v>107</v>
      </c>
      <c r="F8" s="8">
        <f t="shared" si="0"/>
        <v>1</v>
      </c>
      <c r="G8" s="9"/>
      <c r="H8" s="9"/>
    </row>
    <row r="9" spans="1:9" x14ac:dyDescent="0.15">
      <c r="A9" s="8">
        <v>7</v>
      </c>
      <c r="B9" s="9" t="s">
        <v>116</v>
      </c>
      <c r="C9" s="9" t="s">
        <v>195</v>
      </c>
      <c r="D9" s="9" t="s">
        <v>196</v>
      </c>
      <c r="E9" s="11" t="s">
        <v>197</v>
      </c>
      <c r="F9" s="8">
        <f t="shared" si="0"/>
        <v>1</v>
      </c>
      <c r="G9" s="9"/>
      <c r="H9" s="9"/>
      <c r="I9" t="s">
        <v>198</v>
      </c>
    </row>
    <row r="10" spans="1:9" ht="67.5" x14ac:dyDescent="0.15">
      <c r="A10" s="8">
        <v>8</v>
      </c>
      <c r="B10" s="9" t="s">
        <v>116</v>
      </c>
      <c r="C10" s="9" t="s">
        <v>110</v>
      </c>
      <c r="D10" s="9" t="s">
        <v>9</v>
      </c>
      <c r="E10" s="11" t="s">
        <v>111</v>
      </c>
      <c r="F10" s="8">
        <f t="shared" si="0"/>
        <v>52</v>
      </c>
      <c r="G10" s="9"/>
      <c r="H10" s="9"/>
    </row>
    <row r="11" spans="1:9" ht="67.5" x14ac:dyDescent="0.15">
      <c r="A11" s="8">
        <v>9</v>
      </c>
      <c r="B11" s="9" t="s">
        <v>116</v>
      </c>
      <c r="C11" s="9" t="s">
        <v>11</v>
      </c>
      <c r="D11" s="9" t="s">
        <v>6</v>
      </c>
      <c r="E11" s="11" t="s">
        <v>205</v>
      </c>
      <c r="F11" s="8">
        <f t="shared" ref="F11:F45" si="1">LEN(E11)-LEN(SUBSTITUTE(E11,",",""))+1</f>
        <v>57</v>
      </c>
      <c r="G11" s="9"/>
      <c r="H11" s="9"/>
      <c r="I11" t="s">
        <v>204</v>
      </c>
    </row>
    <row r="12" spans="1:9" x14ac:dyDescent="0.15">
      <c r="A12" s="8">
        <v>10</v>
      </c>
      <c r="B12" s="9" t="s">
        <v>116</v>
      </c>
      <c r="C12" s="9" t="s">
        <v>113</v>
      </c>
      <c r="D12" s="9" t="s">
        <v>6</v>
      </c>
      <c r="E12" s="11" t="s">
        <v>112</v>
      </c>
      <c r="F12" s="8">
        <f t="shared" si="1"/>
        <v>11</v>
      </c>
      <c r="G12" s="9"/>
      <c r="H12" s="9"/>
    </row>
    <row r="13" spans="1:9" x14ac:dyDescent="0.15">
      <c r="A13" s="8">
        <v>11</v>
      </c>
      <c r="B13" s="9" t="s">
        <v>116</v>
      </c>
      <c r="C13" s="9" t="s">
        <v>8</v>
      </c>
      <c r="D13" s="9" t="s">
        <v>7</v>
      </c>
      <c r="E13" s="11" t="s">
        <v>190</v>
      </c>
      <c r="F13" s="8">
        <f t="shared" si="1"/>
        <v>2</v>
      </c>
      <c r="G13" s="9"/>
      <c r="H13" s="9"/>
    </row>
    <row r="14" spans="1:9" ht="27" x14ac:dyDescent="0.15">
      <c r="A14" s="8">
        <v>12</v>
      </c>
      <c r="B14" s="9" t="s">
        <v>116</v>
      </c>
      <c r="C14" s="9" t="s">
        <v>10</v>
      </c>
      <c r="D14" s="9" t="s">
        <v>6</v>
      </c>
      <c r="E14" s="11" t="s">
        <v>114</v>
      </c>
      <c r="F14" s="8">
        <f t="shared" si="1"/>
        <v>21</v>
      </c>
      <c r="G14" s="9"/>
      <c r="H14" s="9"/>
    </row>
    <row r="15" spans="1:9" ht="27" x14ac:dyDescent="0.15">
      <c r="A15" s="8">
        <v>13</v>
      </c>
      <c r="B15" s="9" t="s">
        <v>116</v>
      </c>
      <c r="C15" s="9" t="s">
        <v>115</v>
      </c>
      <c r="D15" s="9" t="s">
        <v>6</v>
      </c>
      <c r="E15" s="11" t="s">
        <v>222</v>
      </c>
      <c r="F15" s="8">
        <f t="shared" si="1"/>
        <v>22</v>
      </c>
      <c r="G15" s="9"/>
      <c r="H15" s="9"/>
    </row>
    <row r="16" spans="1:9" x14ac:dyDescent="0.15">
      <c r="A16" s="8">
        <v>14</v>
      </c>
      <c r="B16" s="9" t="s">
        <v>120</v>
      </c>
      <c r="C16" s="9" t="s">
        <v>104</v>
      </c>
      <c r="D16" s="9" t="s">
        <v>25</v>
      </c>
      <c r="E16" s="11" t="s">
        <v>117</v>
      </c>
      <c r="F16" s="8">
        <f t="shared" si="1"/>
        <v>9</v>
      </c>
      <c r="G16" s="9"/>
      <c r="H16" s="9"/>
    </row>
    <row r="17" spans="1:9" x14ac:dyDescent="0.15">
      <c r="A17" s="8">
        <v>15</v>
      </c>
      <c r="B17" s="9" t="s">
        <v>120</v>
      </c>
      <c r="C17" s="9" t="s">
        <v>118</v>
      </c>
      <c r="D17" s="9" t="s">
        <v>16</v>
      </c>
      <c r="E17" s="11" t="s">
        <v>119</v>
      </c>
      <c r="F17" s="8">
        <f t="shared" si="1"/>
        <v>1</v>
      </c>
      <c r="G17" s="9"/>
      <c r="H17" s="9"/>
    </row>
    <row r="18" spans="1:9" ht="27" x14ac:dyDescent="0.15">
      <c r="A18" s="8">
        <v>16</v>
      </c>
      <c r="B18" s="9" t="s">
        <v>120</v>
      </c>
      <c r="C18" s="9" t="s">
        <v>104</v>
      </c>
      <c r="D18" s="9" t="s">
        <v>16</v>
      </c>
      <c r="E18" s="11" t="s">
        <v>223</v>
      </c>
      <c r="F18" s="8">
        <f t="shared" si="1"/>
        <v>16</v>
      </c>
      <c r="G18" s="9"/>
      <c r="H18" s="9"/>
      <c r="I18" t="s">
        <v>209</v>
      </c>
    </row>
    <row r="19" spans="1:9" x14ac:dyDescent="0.15">
      <c r="A19" s="8">
        <v>17</v>
      </c>
      <c r="B19" s="9" t="s">
        <v>120</v>
      </c>
      <c r="C19" s="9" t="s">
        <v>60</v>
      </c>
      <c r="D19" t="s">
        <v>16</v>
      </c>
      <c r="E19" s="7" t="s">
        <v>61</v>
      </c>
      <c r="F19" s="8">
        <f t="shared" si="1"/>
        <v>7</v>
      </c>
      <c r="G19" s="9"/>
      <c r="H19" s="9"/>
    </row>
    <row r="20" spans="1:9" x14ac:dyDescent="0.15">
      <c r="A20" s="8">
        <v>18</v>
      </c>
      <c r="B20" s="9" t="s">
        <v>120</v>
      </c>
      <c r="C20" s="9" t="s">
        <v>40</v>
      </c>
      <c r="D20" s="9" t="s">
        <v>25</v>
      </c>
      <c r="E20" s="11" t="s">
        <v>41</v>
      </c>
      <c r="F20" s="8">
        <f t="shared" si="1"/>
        <v>1</v>
      </c>
      <c r="G20" s="9"/>
      <c r="H20" s="9"/>
    </row>
    <row r="21" spans="1:9" x14ac:dyDescent="0.15">
      <c r="A21" s="8">
        <v>19</v>
      </c>
      <c r="B21" s="9" t="s">
        <v>120</v>
      </c>
      <c r="C21" s="9" t="s">
        <v>46</v>
      </c>
      <c r="D21" s="9" t="s">
        <v>16</v>
      </c>
      <c r="E21" s="11" t="s">
        <v>216</v>
      </c>
      <c r="F21" s="8">
        <f t="shared" si="1"/>
        <v>5</v>
      </c>
      <c r="G21" s="9"/>
      <c r="H21" s="9"/>
    </row>
    <row r="22" spans="1:9" x14ac:dyDescent="0.15">
      <c r="A22" s="8">
        <v>20</v>
      </c>
      <c r="B22" s="9" t="s">
        <v>120</v>
      </c>
      <c r="C22" s="9" t="s">
        <v>38</v>
      </c>
      <c r="D22" s="9" t="s">
        <v>16</v>
      </c>
      <c r="E22" s="11" t="s">
        <v>39</v>
      </c>
      <c r="F22" s="8">
        <f t="shared" si="1"/>
        <v>1</v>
      </c>
      <c r="G22" s="9"/>
      <c r="H22" s="9"/>
    </row>
    <row r="23" spans="1:9" x14ac:dyDescent="0.15">
      <c r="A23" s="8">
        <v>21</v>
      </c>
      <c r="B23" s="9" t="s">
        <v>120</v>
      </c>
      <c r="C23" s="9" t="s">
        <v>202</v>
      </c>
      <c r="D23" s="9" t="s">
        <v>200</v>
      </c>
      <c r="E23" s="11" t="s">
        <v>203</v>
      </c>
      <c r="F23" s="8">
        <f t="shared" si="1"/>
        <v>1</v>
      </c>
      <c r="G23" s="9"/>
      <c r="H23" s="9"/>
      <c r="I23" t="s">
        <v>198</v>
      </c>
    </row>
    <row r="24" spans="1:9" x14ac:dyDescent="0.15">
      <c r="A24" s="8">
        <v>22</v>
      </c>
      <c r="B24" s="9" t="s">
        <v>120</v>
      </c>
      <c r="C24" s="9" t="s">
        <v>43</v>
      </c>
      <c r="D24" s="9" t="s">
        <v>16</v>
      </c>
      <c r="E24" s="11" t="s">
        <v>44</v>
      </c>
      <c r="F24" s="8">
        <f t="shared" si="1"/>
        <v>2</v>
      </c>
      <c r="G24" s="9"/>
      <c r="H24" s="9"/>
    </row>
    <row r="25" spans="1:9" x14ac:dyDescent="0.15">
      <c r="A25" s="8">
        <v>23</v>
      </c>
      <c r="B25" s="9" t="s">
        <v>120</v>
      </c>
      <c r="C25" s="9" t="s">
        <v>105</v>
      </c>
      <c r="D25" s="9" t="s">
        <v>16</v>
      </c>
      <c r="E25" s="11" t="s">
        <v>106</v>
      </c>
      <c r="F25" s="8">
        <f t="shared" si="1"/>
        <v>6</v>
      </c>
      <c r="G25" s="9"/>
      <c r="H25" s="9"/>
    </row>
    <row r="26" spans="1:9" ht="27" x14ac:dyDescent="0.15">
      <c r="A26" s="8">
        <v>24</v>
      </c>
      <c r="B26" s="9" t="s">
        <v>120</v>
      </c>
      <c r="C26" s="9" t="s">
        <v>18</v>
      </c>
      <c r="D26" s="9" t="s">
        <v>16</v>
      </c>
      <c r="E26" s="11" t="s">
        <v>215</v>
      </c>
      <c r="F26" s="8">
        <f t="shared" si="1"/>
        <v>21</v>
      </c>
      <c r="G26" s="9"/>
      <c r="H26" s="9"/>
    </row>
    <row r="27" spans="1:9" x14ac:dyDescent="0.15">
      <c r="A27" s="8">
        <v>25</v>
      </c>
      <c r="B27" s="9" t="s">
        <v>120</v>
      </c>
      <c r="C27" s="9" t="s">
        <v>199</v>
      </c>
      <c r="D27" s="9" t="s">
        <v>200</v>
      </c>
      <c r="E27" s="11" t="s">
        <v>201</v>
      </c>
      <c r="F27" s="8">
        <f t="shared" si="1"/>
        <v>1</v>
      </c>
      <c r="G27" s="9"/>
      <c r="H27" s="9"/>
      <c r="I27" t="s">
        <v>198</v>
      </c>
    </row>
    <row r="28" spans="1:9" x14ac:dyDescent="0.15">
      <c r="A28" s="8">
        <v>26</v>
      </c>
      <c r="B28" s="9" t="s">
        <v>120</v>
      </c>
      <c r="C28" s="9" t="s">
        <v>26</v>
      </c>
      <c r="D28" s="9" t="s">
        <v>16</v>
      </c>
      <c r="E28" s="11" t="s">
        <v>27</v>
      </c>
      <c r="F28" s="8">
        <f t="shared" si="1"/>
        <v>2</v>
      </c>
      <c r="G28" s="9"/>
      <c r="H28" s="9"/>
    </row>
    <row r="29" spans="1:9" x14ac:dyDescent="0.15">
      <c r="A29" s="8">
        <v>27</v>
      </c>
      <c r="B29" s="9" t="s">
        <v>120</v>
      </c>
      <c r="C29" s="9" t="s">
        <v>28</v>
      </c>
      <c r="D29" s="9" t="s">
        <v>25</v>
      </c>
      <c r="E29" s="11" t="s">
        <v>29</v>
      </c>
      <c r="F29" s="8">
        <f t="shared" si="1"/>
        <v>2</v>
      </c>
      <c r="G29" s="9"/>
      <c r="H29" s="9"/>
    </row>
    <row r="30" spans="1:9" x14ac:dyDescent="0.15">
      <c r="A30" s="8">
        <v>28</v>
      </c>
      <c r="B30" s="9" t="s">
        <v>120</v>
      </c>
      <c r="C30" s="9" t="s">
        <v>47</v>
      </c>
      <c r="D30" s="9" t="s">
        <v>16</v>
      </c>
      <c r="E30" s="11" t="s">
        <v>193</v>
      </c>
      <c r="F30" s="8">
        <f t="shared" si="1"/>
        <v>5</v>
      </c>
      <c r="G30" s="9"/>
      <c r="H30" s="9"/>
      <c r="I30" t="s">
        <v>194</v>
      </c>
    </row>
    <row r="31" spans="1:9" x14ac:dyDescent="0.15">
      <c r="A31" s="8">
        <v>29</v>
      </c>
      <c r="B31" s="9" t="s">
        <v>120</v>
      </c>
      <c r="C31" s="9" t="s">
        <v>90</v>
      </c>
      <c r="D31" s="9" t="s">
        <v>16</v>
      </c>
      <c r="E31" s="11" t="s">
        <v>121</v>
      </c>
      <c r="F31" s="8">
        <f t="shared" si="1"/>
        <v>1</v>
      </c>
      <c r="G31" s="9"/>
      <c r="H31" s="9"/>
    </row>
    <row r="32" spans="1:9" x14ac:dyDescent="0.15">
      <c r="A32" s="8">
        <v>30</v>
      </c>
      <c r="B32" s="9" t="s">
        <v>120</v>
      </c>
      <c r="C32" s="9" t="s">
        <v>89</v>
      </c>
      <c r="D32" s="9" t="s">
        <v>16</v>
      </c>
      <c r="E32" s="11" t="s">
        <v>122</v>
      </c>
      <c r="F32" s="8">
        <f t="shared" si="1"/>
        <v>1</v>
      </c>
      <c r="G32" s="9"/>
      <c r="H32" s="9"/>
    </row>
    <row r="33" spans="1:9" x14ac:dyDescent="0.15">
      <c r="A33" s="8">
        <v>31</v>
      </c>
      <c r="B33" s="9" t="s">
        <v>120</v>
      </c>
      <c r="C33" s="9" t="s">
        <v>103</v>
      </c>
      <c r="D33" s="9" t="s">
        <v>25</v>
      </c>
      <c r="E33" s="11" t="s">
        <v>123</v>
      </c>
      <c r="F33" s="8">
        <f t="shared" si="1"/>
        <v>1</v>
      </c>
      <c r="G33" s="9"/>
      <c r="H33" s="9"/>
    </row>
    <row r="34" spans="1:9" x14ac:dyDescent="0.15">
      <c r="A34" s="8">
        <v>32</v>
      </c>
      <c r="B34" s="9" t="s">
        <v>120</v>
      </c>
      <c r="C34" s="9" t="s">
        <v>87</v>
      </c>
      <c r="D34" t="s">
        <v>16</v>
      </c>
      <c r="E34" s="7" t="s">
        <v>88</v>
      </c>
      <c r="F34" s="8">
        <f t="shared" si="1"/>
        <v>1</v>
      </c>
      <c r="G34" s="9"/>
      <c r="H34" s="9"/>
    </row>
    <row r="35" spans="1:9" x14ac:dyDescent="0.15">
      <c r="A35" s="8">
        <v>33</v>
      </c>
      <c r="B35" s="9" t="s">
        <v>120</v>
      </c>
      <c r="C35" s="9" t="s">
        <v>30</v>
      </c>
      <c r="D35" s="9" t="s">
        <v>16</v>
      </c>
      <c r="E35" s="11" t="s">
        <v>31</v>
      </c>
      <c r="F35" s="8">
        <f t="shared" si="1"/>
        <v>3</v>
      </c>
      <c r="G35" s="9"/>
      <c r="H35" s="9"/>
    </row>
    <row r="36" spans="1:9" x14ac:dyDescent="0.15">
      <c r="A36" s="8">
        <v>34</v>
      </c>
      <c r="B36" s="9" t="s">
        <v>120</v>
      </c>
      <c r="C36" s="9" t="s">
        <v>32</v>
      </c>
      <c r="D36" s="9" t="s">
        <v>16</v>
      </c>
      <c r="E36" s="11" t="s">
        <v>33</v>
      </c>
      <c r="F36" s="8">
        <f t="shared" si="1"/>
        <v>1</v>
      </c>
      <c r="G36" s="9"/>
      <c r="H36" s="9"/>
    </row>
    <row r="37" spans="1:9" x14ac:dyDescent="0.15">
      <c r="A37" s="8">
        <v>35</v>
      </c>
      <c r="B37" s="9" t="s">
        <v>120</v>
      </c>
      <c r="C37" s="9" t="s">
        <v>34</v>
      </c>
      <c r="D37" s="9" t="s">
        <v>16</v>
      </c>
      <c r="E37" s="11" t="s">
        <v>142</v>
      </c>
      <c r="F37" s="8">
        <f t="shared" si="1"/>
        <v>2</v>
      </c>
      <c r="G37" s="9"/>
      <c r="H37" s="9"/>
    </row>
    <row r="38" spans="1:9" x14ac:dyDescent="0.15">
      <c r="A38" s="8">
        <v>36</v>
      </c>
      <c r="B38" s="9" t="s">
        <v>171</v>
      </c>
      <c r="C38" s="9" t="s">
        <v>125</v>
      </c>
      <c r="D38" s="9" t="s">
        <v>56</v>
      </c>
      <c r="E38" s="11" t="s">
        <v>143</v>
      </c>
      <c r="F38" s="8">
        <f t="shared" si="1"/>
        <v>3</v>
      </c>
      <c r="G38" s="9"/>
      <c r="H38" s="9"/>
    </row>
    <row r="39" spans="1:9" x14ac:dyDescent="0.15">
      <c r="A39" s="8">
        <v>37</v>
      </c>
      <c r="B39" s="9" t="s">
        <v>171</v>
      </c>
      <c r="C39" s="13" t="s">
        <v>124</v>
      </c>
      <c r="D39" s="13" t="s">
        <v>23</v>
      </c>
      <c r="E39" s="15" t="s">
        <v>182</v>
      </c>
      <c r="F39" s="12">
        <f t="shared" si="1"/>
        <v>6</v>
      </c>
      <c r="G39" s="13"/>
      <c r="H39" s="13"/>
    </row>
    <row r="40" spans="1:9" x14ac:dyDescent="0.15">
      <c r="A40" s="8">
        <v>38</v>
      </c>
      <c r="B40" s="9" t="s">
        <v>171</v>
      </c>
      <c r="C40" s="9" t="s">
        <v>126</v>
      </c>
      <c r="D40" s="9" t="s">
        <v>24</v>
      </c>
      <c r="E40" s="11" t="s">
        <v>181</v>
      </c>
      <c r="F40" s="8">
        <f t="shared" si="1"/>
        <v>1</v>
      </c>
      <c r="G40" s="9"/>
      <c r="H40" s="9"/>
    </row>
    <row r="41" spans="1:9" x14ac:dyDescent="0.15">
      <c r="A41" s="8">
        <v>39</v>
      </c>
      <c r="B41" s="9" t="s">
        <v>172</v>
      </c>
      <c r="C41" s="9" t="s">
        <v>86</v>
      </c>
      <c r="D41" s="9" t="s">
        <v>55</v>
      </c>
      <c r="E41" s="11" t="s">
        <v>144</v>
      </c>
      <c r="F41" s="8">
        <f t="shared" si="1"/>
        <v>1</v>
      </c>
      <c r="G41" s="9"/>
      <c r="H41" s="9"/>
    </row>
    <row r="42" spans="1:9" x14ac:dyDescent="0.15">
      <c r="A42" s="8">
        <v>40</v>
      </c>
      <c r="B42" s="9" t="s">
        <v>172</v>
      </c>
      <c r="C42" s="9" t="s">
        <v>85</v>
      </c>
      <c r="D42" s="9" t="s">
        <v>55</v>
      </c>
      <c r="E42" s="11" t="s">
        <v>145</v>
      </c>
      <c r="F42" s="8">
        <f t="shared" si="1"/>
        <v>1</v>
      </c>
      <c r="G42" s="9"/>
      <c r="H42" s="9"/>
    </row>
    <row r="43" spans="1:9" x14ac:dyDescent="0.15">
      <c r="A43" s="8">
        <v>41</v>
      </c>
      <c r="B43" s="9" t="s">
        <v>172</v>
      </c>
      <c r="C43" s="9" t="s">
        <v>108</v>
      </c>
      <c r="D43" s="9" t="s">
        <v>55</v>
      </c>
      <c r="E43" s="11" t="s">
        <v>109</v>
      </c>
      <c r="F43" s="8">
        <f t="shared" si="1"/>
        <v>3</v>
      </c>
      <c r="G43" s="9"/>
      <c r="H43" s="9"/>
    </row>
    <row r="44" spans="1:9" x14ac:dyDescent="0.15">
      <c r="A44" s="8">
        <v>42</v>
      </c>
      <c r="B44" s="9" t="s">
        <v>172</v>
      </c>
      <c r="C44" s="9" t="s">
        <v>206</v>
      </c>
      <c r="D44" s="9" t="s">
        <v>207</v>
      </c>
      <c r="E44" s="11" t="s">
        <v>208</v>
      </c>
      <c r="F44" s="8">
        <f t="shared" si="1"/>
        <v>1</v>
      </c>
      <c r="G44" s="9"/>
      <c r="H44" s="9"/>
      <c r="I44" t="s">
        <v>198</v>
      </c>
    </row>
    <row r="45" spans="1:9" x14ac:dyDescent="0.15">
      <c r="A45" s="8">
        <v>43</v>
      </c>
      <c r="B45" s="9" t="s">
        <v>172</v>
      </c>
      <c r="C45" s="9" t="s">
        <v>62</v>
      </c>
      <c r="D45" s="9" t="s">
        <v>55</v>
      </c>
      <c r="E45" s="11" t="s">
        <v>146</v>
      </c>
      <c r="F45" s="8">
        <f t="shared" si="1"/>
        <v>2</v>
      </c>
      <c r="G45" s="9"/>
      <c r="H45" s="9"/>
    </row>
    <row r="46" spans="1:9" x14ac:dyDescent="0.15">
      <c r="A46" s="8">
        <v>44</v>
      </c>
      <c r="B46" s="13" t="s">
        <v>173</v>
      </c>
      <c r="C46" s="13" t="s">
        <v>128</v>
      </c>
      <c r="D46" s="13" t="s">
        <v>37</v>
      </c>
      <c r="E46" s="15" t="s">
        <v>147</v>
      </c>
      <c r="F46" s="12">
        <f t="shared" ref="F46:F66" si="2">LEN(E46)-LEN(SUBSTITUTE(E46,",",""))+1</f>
        <v>1</v>
      </c>
      <c r="G46" s="13" t="s">
        <v>179</v>
      </c>
      <c r="H46" s="21"/>
    </row>
    <row r="47" spans="1:9" x14ac:dyDescent="0.15">
      <c r="A47" s="8">
        <v>45</v>
      </c>
      <c r="B47" s="13" t="s">
        <v>174</v>
      </c>
      <c r="C47" s="13" t="s">
        <v>127</v>
      </c>
      <c r="D47" s="13" t="s">
        <v>37</v>
      </c>
      <c r="E47" s="15" t="s">
        <v>148</v>
      </c>
      <c r="F47" s="12">
        <f t="shared" si="2"/>
        <v>10</v>
      </c>
      <c r="G47" s="13" t="s">
        <v>179</v>
      </c>
      <c r="H47" s="23"/>
    </row>
    <row r="48" spans="1:9" x14ac:dyDescent="0.15">
      <c r="A48" s="8">
        <v>46</v>
      </c>
      <c r="B48" s="9" t="s">
        <v>170</v>
      </c>
      <c r="C48" s="9" t="s">
        <v>226</v>
      </c>
      <c r="D48" s="9" t="s">
        <v>50</v>
      </c>
      <c r="E48" s="11" t="s">
        <v>149</v>
      </c>
      <c r="F48" s="8">
        <f t="shared" si="2"/>
        <v>3</v>
      </c>
      <c r="G48" s="9"/>
      <c r="H48" s="9"/>
    </row>
    <row r="49" spans="1:8" x14ac:dyDescent="0.15">
      <c r="A49" s="8">
        <v>47</v>
      </c>
      <c r="B49" s="9" t="s">
        <v>169</v>
      </c>
      <c r="C49" s="9" t="s">
        <v>192</v>
      </c>
      <c r="D49" s="9" t="s">
        <v>191</v>
      </c>
      <c r="E49" s="11" t="s">
        <v>150</v>
      </c>
      <c r="F49" s="8">
        <f t="shared" si="2"/>
        <v>1</v>
      </c>
      <c r="G49" s="9"/>
      <c r="H49" s="9"/>
    </row>
    <row r="50" spans="1:8" x14ac:dyDescent="0.15">
      <c r="A50" s="8">
        <v>48</v>
      </c>
      <c r="B50" s="9" t="s">
        <v>167</v>
      </c>
      <c r="C50" s="9" t="s">
        <v>168</v>
      </c>
      <c r="D50" s="9" t="s">
        <v>13</v>
      </c>
      <c r="E50" s="11" t="s">
        <v>151</v>
      </c>
      <c r="F50" s="8">
        <f t="shared" si="2"/>
        <v>1</v>
      </c>
      <c r="G50" s="9"/>
      <c r="H50" s="9"/>
    </row>
    <row r="51" spans="1:8" x14ac:dyDescent="0.15">
      <c r="A51" s="8">
        <v>49</v>
      </c>
      <c r="B51" s="13" t="s">
        <v>129</v>
      </c>
      <c r="C51" s="13" t="s">
        <v>186</v>
      </c>
      <c r="D51" s="13" t="s">
        <v>183</v>
      </c>
      <c r="E51" s="15" t="s">
        <v>188</v>
      </c>
      <c r="F51" s="12">
        <f t="shared" si="2"/>
        <v>2</v>
      </c>
      <c r="G51" s="13"/>
      <c r="H51" s="21" t="s">
        <v>187</v>
      </c>
    </row>
    <row r="52" spans="1:8" x14ac:dyDescent="0.15">
      <c r="A52" s="8">
        <v>50</v>
      </c>
      <c r="B52" s="13" t="s">
        <v>129</v>
      </c>
      <c r="C52" s="13" t="s">
        <v>189</v>
      </c>
      <c r="D52" s="13" t="s">
        <v>185</v>
      </c>
      <c r="E52" s="15" t="s">
        <v>152</v>
      </c>
      <c r="F52" s="12">
        <f t="shared" si="2"/>
        <v>1</v>
      </c>
      <c r="G52" s="13"/>
      <c r="H52" s="23"/>
    </row>
    <row r="53" spans="1:8" x14ac:dyDescent="0.15">
      <c r="A53" s="8">
        <v>51</v>
      </c>
      <c r="B53" s="9" t="s">
        <v>166</v>
      </c>
      <c r="C53" s="9" t="s">
        <v>71</v>
      </c>
      <c r="D53" s="9" t="s">
        <v>72</v>
      </c>
      <c r="E53" s="11" t="s">
        <v>153</v>
      </c>
      <c r="F53" s="8">
        <f t="shared" si="2"/>
        <v>1</v>
      </c>
      <c r="G53" s="9"/>
      <c r="H53" s="9"/>
    </row>
    <row r="54" spans="1:8" s="20" customFormat="1" x14ac:dyDescent="0.15">
      <c r="A54" s="8">
        <v>52</v>
      </c>
      <c r="B54" s="18" t="s">
        <v>136</v>
      </c>
      <c r="C54" s="18" t="s">
        <v>73</v>
      </c>
      <c r="D54" s="18" t="s">
        <v>74</v>
      </c>
      <c r="E54" s="19" t="s">
        <v>160</v>
      </c>
      <c r="F54" s="17">
        <f t="shared" si="2"/>
        <v>1</v>
      </c>
      <c r="G54" s="18"/>
      <c r="H54" s="18"/>
    </row>
    <row r="55" spans="1:8" s="20" customFormat="1" x14ac:dyDescent="0.15">
      <c r="A55" s="8">
        <v>53</v>
      </c>
      <c r="B55" s="18" t="s">
        <v>130</v>
      </c>
      <c r="C55" s="18" t="s">
        <v>225</v>
      </c>
      <c r="D55" s="18" t="s">
        <v>19</v>
      </c>
      <c r="E55" s="19" t="s">
        <v>154</v>
      </c>
      <c r="F55" s="17">
        <f t="shared" si="2"/>
        <v>1</v>
      </c>
      <c r="G55" s="18" t="s">
        <v>175</v>
      </c>
      <c r="H55" s="21"/>
    </row>
    <row r="56" spans="1:8" x14ac:dyDescent="0.15">
      <c r="A56" s="8">
        <v>54</v>
      </c>
      <c r="B56" s="13" t="s">
        <v>131</v>
      </c>
      <c r="C56" s="13" t="s">
        <v>35</v>
      </c>
      <c r="D56" s="13" t="s">
        <v>36</v>
      </c>
      <c r="E56" s="15" t="s">
        <v>155</v>
      </c>
      <c r="F56" s="12">
        <f t="shared" si="2"/>
        <v>7</v>
      </c>
      <c r="G56" s="13" t="s">
        <v>176</v>
      </c>
      <c r="H56" s="22"/>
    </row>
    <row r="57" spans="1:8" s="20" customFormat="1" x14ac:dyDescent="0.15">
      <c r="A57" s="8">
        <v>55</v>
      </c>
      <c r="B57" s="18" t="s">
        <v>132</v>
      </c>
      <c r="C57" s="18" t="s">
        <v>63</v>
      </c>
      <c r="D57" s="18" t="s">
        <v>64</v>
      </c>
      <c r="E57" s="19" t="s">
        <v>156</v>
      </c>
      <c r="F57" s="17">
        <f t="shared" si="2"/>
        <v>1</v>
      </c>
      <c r="G57" s="18" t="s">
        <v>177</v>
      </c>
      <c r="H57" s="22"/>
    </row>
    <row r="58" spans="1:8" x14ac:dyDescent="0.15">
      <c r="A58" s="8">
        <v>56</v>
      </c>
      <c r="B58" s="13" t="s">
        <v>133</v>
      </c>
      <c r="C58" s="13" t="s">
        <v>65</v>
      </c>
      <c r="D58" s="13" t="s">
        <v>66</v>
      </c>
      <c r="E58" s="15" t="s">
        <v>157</v>
      </c>
      <c r="F58" s="12">
        <f t="shared" si="2"/>
        <v>1</v>
      </c>
      <c r="G58" s="13" t="s">
        <v>178</v>
      </c>
      <c r="H58" s="22"/>
    </row>
    <row r="59" spans="1:8" x14ac:dyDescent="0.15">
      <c r="A59" s="8">
        <v>57</v>
      </c>
      <c r="B59" s="13" t="s">
        <v>134</v>
      </c>
      <c r="C59" s="13" t="s">
        <v>67</v>
      </c>
      <c r="D59" s="13" t="s">
        <v>68</v>
      </c>
      <c r="E59" s="15" t="s">
        <v>158</v>
      </c>
      <c r="F59" s="12">
        <f t="shared" si="2"/>
        <v>1</v>
      </c>
      <c r="G59" s="13" t="s">
        <v>179</v>
      </c>
      <c r="H59" s="22"/>
    </row>
    <row r="60" spans="1:8" x14ac:dyDescent="0.15">
      <c r="A60" s="8">
        <v>58</v>
      </c>
      <c r="B60" s="13" t="s">
        <v>135</v>
      </c>
      <c r="C60" s="13" t="s">
        <v>69</v>
      </c>
      <c r="D60" s="13" t="s">
        <v>70</v>
      </c>
      <c r="E60" s="15" t="s">
        <v>159</v>
      </c>
      <c r="F60" s="12">
        <f t="shared" si="2"/>
        <v>1</v>
      </c>
      <c r="G60" s="13" t="s">
        <v>179</v>
      </c>
      <c r="H60" s="22"/>
    </row>
    <row r="61" spans="1:8" x14ac:dyDescent="0.15">
      <c r="A61" s="8">
        <v>59</v>
      </c>
      <c r="B61" s="13" t="s">
        <v>137</v>
      </c>
      <c r="C61" s="13" t="s">
        <v>75</v>
      </c>
      <c r="D61" s="13" t="s">
        <v>76</v>
      </c>
      <c r="E61" s="15" t="s">
        <v>161</v>
      </c>
      <c r="F61" s="12">
        <f t="shared" si="2"/>
        <v>1</v>
      </c>
      <c r="G61" s="13" t="s">
        <v>179</v>
      </c>
      <c r="H61" s="22"/>
    </row>
    <row r="62" spans="1:8" x14ac:dyDescent="0.15">
      <c r="A62" s="8">
        <v>60</v>
      </c>
      <c r="B62" s="13" t="s">
        <v>139</v>
      </c>
      <c r="C62" s="13" t="s">
        <v>138</v>
      </c>
      <c r="D62" s="13" t="s">
        <v>77</v>
      </c>
      <c r="E62" s="15" t="s">
        <v>162</v>
      </c>
      <c r="F62" s="12">
        <f t="shared" si="2"/>
        <v>9</v>
      </c>
      <c r="G62" s="13" t="s">
        <v>180</v>
      </c>
      <c r="H62" s="22"/>
    </row>
    <row r="63" spans="1:8" x14ac:dyDescent="0.15">
      <c r="A63" s="8">
        <v>61</v>
      </c>
      <c r="B63" s="13" t="s">
        <v>131</v>
      </c>
      <c r="C63" s="13" t="s">
        <v>78</v>
      </c>
      <c r="D63" s="13" t="s">
        <v>79</v>
      </c>
      <c r="E63" s="15" t="s">
        <v>163</v>
      </c>
      <c r="F63" s="12">
        <f t="shared" si="2"/>
        <v>1</v>
      </c>
      <c r="G63" s="13" t="s">
        <v>176</v>
      </c>
      <c r="H63" s="22"/>
    </row>
    <row r="64" spans="1:8" x14ac:dyDescent="0.15">
      <c r="A64" s="8">
        <v>62</v>
      </c>
      <c r="B64" s="13" t="s">
        <v>140</v>
      </c>
      <c r="C64" s="13" t="s">
        <v>80</v>
      </c>
      <c r="D64" s="13" t="s">
        <v>79</v>
      </c>
      <c r="E64" s="15" t="s">
        <v>164</v>
      </c>
      <c r="F64" s="12">
        <f t="shared" si="2"/>
        <v>1</v>
      </c>
      <c r="G64" s="13" t="s">
        <v>180</v>
      </c>
      <c r="H64" s="22"/>
    </row>
    <row r="65" spans="1:8" x14ac:dyDescent="0.15">
      <c r="A65" s="8">
        <v>63</v>
      </c>
      <c r="B65" s="13" t="s">
        <v>210</v>
      </c>
      <c r="C65" s="13" t="s">
        <v>211</v>
      </c>
      <c r="D65" s="13" t="s">
        <v>212</v>
      </c>
      <c r="E65" s="15" t="s">
        <v>213</v>
      </c>
      <c r="F65" s="12">
        <f t="shared" si="2"/>
        <v>1</v>
      </c>
      <c r="G65" s="13" t="s">
        <v>214</v>
      </c>
      <c r="H65" s="22"/>
    </row>
    <row r="66" spans="1:8" x14ac:dyDescent="0.15">
      <c r="A66" s="8">
        <v>64</v>
      </c>
      <c r="B66" s="13" t="s">
        <v>141</v>
      </c>
      <c r="C66" s="13" t="s">
        <v>93</v>
      </c>
      <c r="D66" s="13" t="s">
        <v>94</v>
      </c>
      <c r="E66" s="15" t="s">
        <v>165</v>
      </c>
      <c r="F66" s="12">
        <f t="shared" si="2"/>
        <v>1</v>
      </c>
      <c r="G66" s="13" t="s">
        <v>178</v>
      </c>
      <c r="H66" s="23"/>
    </row>
    <row r="71" spans="1:8" x14ac:dyDescent="0.15">
      <c r="F71"/>
    </row>
    <row r="73" spans="1:8" x14ac:dyDescent="0.15">
      <c r="B73" s="24" t="s">
        <v>218</v>
      </c>
      <c r="C73" s="24"/>
      <c r="D73" s="24"/>
      <c r="E73" s="24"/>
      <c r="F73" s="24"/>
      <c r="G73" s="24"/>
      <c r="H73" s="24"/>
    </row>
    <row r="74" spans="1:8" x14ac:dyDescent="0.15">
      <c r="B74" t="s">
        <v>217</v>
      </c>
    </row>
    <row r="75" spans="1:8" x14ac:dyDescent="0.15">
      <c r="B75" s="9" t="s">
        <v>120</v>
      </c>
      <c r="C75" s="9" t="s">
        <v>104</v>
      </c>
      <c r="D75" s="9" t="s">
        <v>16</v>
      </c>
      <c r="E75" s="11" t="s">
        <v>219</v>
      </c>
      <c r="F75" s="8">
        <f t="shared" ref="F75" si="3">LEN(E75)-LEN(SUBSTITUTE(E75,",",""))+1</f>
        <v>4</v>
      </c>
      <c r="G75" s="9"/>
    </row>
    <row r="77" spans="1:8" x14ac:dyDescent="0.15">
      <c r="B77" t="s">
        <v>220</v>
      </c>
    </row>
    <row r="79" spans="1:8" x14ac:dyDescent="0.15">
      <c r="B79" s="9" t="s">
        <v>120</v>
      </c>
      <c r="C79" s="9" t="s">
        <v>104</v>
      </c>
      <c r="D79" s="9" t="s">
        <v>16</v>
      </c>
      <c r="E79" s="11" t="s">
        <v>221</v>
      </c>
      <c r="F79" s="8">
        <f t="shared" ref="F79" si="4">LEN(E79)-LEN(SUBSTITUTE(E79,",",""))+1</f>
        <v>3</v>
      </c>
      <c r="G79" s="9"/>
    </row>
    <row r="84" spans="2:9" x14ac:dyDescent="0.15">
      <c r="B84" s="6"/>
      <c r="D84" s="6"/>
      <c r="E84" s="6"/>
      <c r="F84" s="6"/>
      <c r="G84" s="6"/>
      <c r="H84" s="6"/>
      <c r="I84" s="6"/>
    </row>
    <row r="85" spans="2:9" x14ac:dyDescent="0.15">
      <c r="B85" s="6"/>
      <c r="D85" s="6"/>
      <c r="E85" s="6"/>
      <c r="F85" s="6"/>
      <c r="G85" s="6"/>
      <c r="H85" s="6"/>
      <c r="I85" s="6"/>
    </row>
    <row r="86" spans="2:9" x14ac:dyDescent="0.15">
      <c r="B86" s="6"/>
      <c r="D86" s="6"/>
      <c r="E86" s="6"/>
      <c r="F86" s="6"/>
      <c r="G86" s="6"/>
      <c r="H86" s="6"/>
      <c r="I86" s="6"/>
    </row>
    <row r="87" spans="2:9" x14ac:dyDescent="0.15">
      <c r="B87" s="6"/>
      <c r="D87" s="6"/>
      <c r="E87" s="6"/>
      <c r="F87" s="6"/>
      <c r="G87" s="6"/>
      <c r="H87" s="6"/>
      <c r="I87" s="6"/>
    </row>
    <row r="88" spans="2:9" x14ac:dyDescent="0.15">
      <c r="B88" s="6"/>
      <c r="D88" s="6"/>
      <c r="E88" s="6"/>
      <c r="F88" s="6"/>
      <c r="G88" s="6"/>
      <c r="H88" s="6"/>
      <c r="I88" s="6"/>
    </row>
    <row r="89" spans="2:9" x14ac:dyDescent="0.15">
      <c r="B89" s="6"/>
      <c r="D89" s="6"/>
      <c r="E89" s="6"/>
      <c r="F89" s="6"/>
      <c r="G89" s="6"/>
      <c r="H89" s="6"/>
      <c r="I89" s="6"/>
    </row>
    <row r="90" spans="2:9" x14ac:dyDescent="0.15">
      <c r="B90" s="6"/>
      <c r="D90" s="6"/>
      <c r="E90" s="6"/>
      <c r="F90" s="6"/>
      <c r="G90" s="6"/>
      <c r="H90" s="6"/>
      <c r="I90" s="6"/>
    </row>
    <row r="91" spans="2:9" x14ac:dyDescent="0.15">
      <c r="B91" s="6"/>
      <c r="D91" s="6"/>
      <c r="E91" s="6"/>
      <c r="F91" s="6"/>
      <c r="G91" s="6"/>
      <c r="H91" s="6"/>
      <c r="I91" s="6"/>
    </row>
    <row r="92" spans="2:9" x14ac:dyDescent="0.15">
      <c r="B92" s="6"/>
      <c r="D92" s="6"/>
      <c r="E92" s="6"/>
      <c r="F92" s="6"/>
      <c r="G92" s="6"/>
      <c r="H92" s="6"/>
      <c r="I92" s="6"/>
    </row>
    <row r="93" spans="2:9" x14ac:dyDescent="0.15">
      <c r="B93" s="6"/>
      <c r="D93" s="6"/>
      <c r="E93" s="6"/>
      <c r="F93" s="6"/>
      <c r="G93" s="6"/>
      <c r="H93" s="6"/>
      <c r="I93" s="6"/>
    </row>
    <row r="94" spans="2:9" x14ac:dyDescent="0.15">
      <c r="B94" s="6"/>
      <c r="D94" s="6"/>
      <c r="E94" s="6"/>
      <c r="F94" s="6"/>
      <c r="G94" s="6"/>
      <c r="H94" s="6"/>
      <c r="I94" s="6"/>
    </row>
    <row r="103" spans="2:5" x14ac:dyDescent="0.15">
      <c r="B103" s="5"/>
      <c r="C103" s="5"/>
      <c r="D103" s="5"/>
      <c r="E103" s="5"/>
    </row>
    <row r="104" spans="2:5" x14ac:dyDescent="0.15">
      <c r="B104" s="5"/>
      <c r="C104" s="5"/>
      <c r="D104" s="5"/>
      <c r="E104" s="5"/>
    </row>
    <row r="105" spans="2:5" x14ac:dyDescent="0.15">
      <c r="B105" s="5"/>
      <c r="C105" s="5"/>
      <c r="D105" s="5"/>
      <c r="E105" s="5"/>
    </row>
    <row r="106" spans="2:5" x14ac:dyDescent="0.15">
      <c r="B106" s="5"/>
      <c r="C106" s="5"/>
      <c r="D106" s="5"/>
      <c r="E106" s="5"/>
    </row>
    <row r="107" spans="2:5" x14ac:dyDescent="0.15">
      <c r="B107" s="5"/>
      <c r="C107" s="5"/>
      <c r="D107" s="5"/>
      <c r="E107" s="5"/>
    </row>
    <row r="108" spans="2:5" x14ac:dyDescent="0.15">
      <c r="B108" s="5"/>
      <c r="C108" s="5"/>
      <c r="D108" s="5"/>
      <c r="E108" s="5"/>
    </row>
    <row r="109" spans="2:5" x14ac:dyDescent="0.15">
      <c r="B109" s="5"/>
      <c r="C109" s="5"/>
      <c r="D109" s="5"/>
      <c r="E109" s="5"/>
    </row>
    <row r="110" spans="2:5" x14ac:dyDescent="0.15">
      <c r="B110" s="5"/>
      <c r="C110" s="5"/>
      <c r="D110" s="5"/>
      <c r="E110" s="5"/>
    </row>
    <row r="111" spans="2:5" x14ac:dyDescent="0.15">
      <c r="B111" s="5"/>
      <c r="C111" s="5"/>
      <c r="D111" s="5"/>
      <c r="E111" s="5"/>
    </row>
    <row r="112" spans="2:5" x14ac:dyDescent="0.15">
      <c r="B112" s="5"/>
      <c r="C112" s="5"/>
      <c r="D112" s="5"/>
      <c r="E112" s="5"/>
    </row>
  </sheetData>
  <mergeCells count="4">
    <mergeCell ref="H55:H66"/>
    <mergeCell ref="H46:H47"/>
    <mergeCell ref="H51:H52"/>
    <mergeCell ref="B73:H73"/>
  </mergeCells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19" sqref="A19"/>
    </sheetView>
  </sheetViews>
  <sheetFormatPr defaultRowHeight="13.5" x14ac:dyDescent="0.15"/>
  <sheetData>
    <row r="1" spans="1:8" x14ac:dyDescent="0.15">
      <c r="A1" s="8">
        <v>28</v>
      </c>
      <c r="B1" s="9"/>
      <c r="C1" s="10" t="s">
        <v>15</v>
      </c>
      <c r="D1" s="9" t="s">
        <v>16</v>
      </c>
      <c r="E1" s="11" t="s">
        <v>17</v>
      </c>
      <c r="F1" s="8">
        <v>3</v>
      </c>
      <c r="G1" s="9"/>
      <c r="H1" s="9"/>
    </row>
    <row r="2" spans="1:8" x14ac:dyDescent="0.15">
      <c r="A2" s="8">
        <v>36</v>
      </c>
      <c r="B2" s="9"/>
      <c r="C2" s="10" t="s">
        <v>20</v>
      </c>
      <c r="D2" s="9" t="s">
        <v>7</v>
      </c>
      <c r="E2" s="11" t="s">
        <v>21</v>
      </c>
      <c r="F2" s="8">
        <v>5</v>
      </c>
      <c r="G2" s="9"/>
      <c r="H2" s="9"/>
    </row>
    <row r="3" spans="1:8" x14ac:dyDescent="0.15">
      <c r="A3" s="8">
        <v>39</v>
      </c>
      <c r="B3" s="9"/>
      <c r="C3" s="10" t="s">
        <v>20</v>
      </c>
      <c r="D3" s="9" t="s">
        <v>6</v>
      </c>
      <c r="E3" s="11" t="s">
        <v>22</v>
      </c>
      <c r="F3" s="8">
        <v>2</v>
      </c>
      <c r="G3" s="9"/>
      <c r="H3" s="9"/>
    </row>
    <row r="4" spans="1:8" x14ac:dyDescent="0.15">
      <c r="A4" s="8">
        <v>55</v>
      </c>
      <c r="B4" s="9"/>
      <c r="C4" s="10" t="s">
        <v>12</v>
      </c>
      <c r="D4" s="9" t="s">
        <v>16</v>
      </c>
      <c r="E4" s="11" t="s">
        <v>42</v>
      </c>
      <c r="F4" s="8">
        <v>2</v>
      </c>
      <c r="G4" s="9"/>
      <c r="H4" s="9"/>
    </row>
    <row r="5" spans="1:8" x14ac:dyDescent="0.15">
      <c r="A5" s="8">
        <v>57</v>
      </c>
      <c r="B5" s="9"/>
      <c r="C5" s="10" t="s">
        <v>12</v>
      </c>
      <c r="D5" s="9" t="s">
        <v>25</v>
      </c>
      <c r="E5" s="11" t="s">
        <v>45</v>
      </c>
      <c r="F5" s="8">
        <v>1</v>
      </c>
      <c r="G5" s="9"/>
      <c r="H5" s="9"/>
    </row>
    <row r="6" spans="1:8" x14ac:dyDescent="0.15">
      <c r="A6" s="5">
        <v>93</v>
      </c>
      <c r="C6" s="6" t="s">
        <v>91</v>
      </c>
      <c r="D6" t="s">
        <v>16</v>
      </c>
      <c r="E6" s="7" t="s">
        <v>92</v>
      </c>
      <c r="F6" s="5">
        <v>1</v>
      </c>
    </row>
    <row r="7" spans="1:8" x14ac:dyDescent="0.15">
      <c r="A7" s="8">
        <v>65</v>
      </c>
      <c r="B7" s="13"/>
      <c r="C7" s="14" t="s">
        <v>12</v>
      </c>
      <c r="D7" s="13" t="s">
        <v>6</v>
      </c>
      <c r="E7" s="15" t="s">
        <v>51</v>
      </c>
      <c r="F7" s="12">
        <v>9</v>
      </c>
      <c r="G7" s="13"/>
      <c r="H7" s="16"/>
    </row>
    <row r="8" spans="1:8" x14ac:dyDescent="0.15">
      <c r="A8" s="8">
        <v>62</v>
      </c>
      <c r="B8" s="13"/>
      <c r="C8" s="14" t="s">
        <v>48</v>
      </c>
      <c r="D8" s="13" t="s">
        <v>6</v>
      </c>
      <c r="E8" s="15" t="s">
        <v>49</v>
      </c>
      <c r="F8" s="12">
        <v>2</v>
      </c>
      <c r="G8" s="13"/>
      <c r="H8" s="16"/>
    </row>
    <row r="9" spans="1:8" x14ac:dyDescent="0.15">
      <c r="A9" s="8">
        <v>23</v>
      </c>
      <c r="B9" s="9"/>
      <c r="C9" s="10" t="s">
        <v>100</v>
      </c>
      <c r="D9" s="9" t="s">
        <v>6</v>
      </c>
      <c r="E9" s="11" t="s">
        <v>14</v>
      </c>
      <c r="F9" s="8">
        <v>1</v>
      </c>
      <c r="G9" s="9"/>
      <c r="H9" s="9"/>
    </row>
    <row r="10" spans="1:8" x14ac:dyDescent="0.15">
      <c r="A10" s="8">
        <v>13</v>
      </c>
      <c r="B10" s="9"/>
      <c r="C10" s="10" t="s">
        <v>12</v>
      </c>
      <c r="D10" s="9" t="s">
        <v>9</v>
      </c>
      <c r="E10" s="11" t="s">
        <v>98</v>
      </c>
      <c r="F10" s="8">
        <v>1</v>
      </c>
      <c r="G10" s="9"/>
      <c r="H10" s="9"/>
    </row>
    <row r="11" spans="1:8" x14ac:dyDescent="0.15">
      <c r="A11" s="8">
        <v>70</v>
      </c>
      <c r="B11" s="13"/>
      <c r="C11" s="14" t="s">
        <v>57</v>
      </c>
      <c r="D11" s="13" t="s">
        <v>58</v>
      </c>
      <c r="E11" s="15" t="s">
        <v>59</v>
      </c>
      <c r="F11" s="12">
        <v>1</v>
      </c>
      <c r="G11" s="13"/>
      <c r="H11" s="16"/>
    </row>
    <row r="18" spans="1:1" x14ac:dyDescent="0.15">
      <c r="A18" t="s">
        <v>224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SSZ029D-S01C-D2_BOMLIST</vt:lpstr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yuchen.qian(钱超)</dc:creator>
  <cp:lastModifiedBy>yuchen.qian(钱超)</cp:lastModifiedBy>
  <dcterms:created xsi:type="dcterms:W3CDTF">2025-09-19T13:20:09Z</dcterms:created>
  <dcterms:modified xsi:type="dcterms:W3CDTF">2026-04-14T03:57:55Z</dcterms:modified>
</cp:coreProperties>
</file>