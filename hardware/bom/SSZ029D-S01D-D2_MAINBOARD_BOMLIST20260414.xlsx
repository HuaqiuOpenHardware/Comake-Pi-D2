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hare\work\IPC\I6D\I6DW\AI_Glass\Demo\BGA8x9_5\Comake D2 开发\"/>
    </mc:Choice>
  </mc:AlternateContent>
  <bookViews>
    <workbookView xWindow="0" yWindow="0" windowWidth="21570" windowHeight="8145"/>
  </bookViews>
  <sheets>
    <sheet name="SSC309-S01C-D2-MAINBOARD_BOM_20" sheetId="1" r:id="rId1"/>
    <sheet name="NC" sheetId="2" r:id="rId2"/>
  </sheets>
  <calcPr calcId="162913"/>
</workbook>
</file>

<file path=xl/calcChain.xml><?xml version="1.0" encoding="utf-8"?>
<calcChain xmlns="http://schemas.openxmlformats.org/spreadsheetml/2006/main">
  <c r="F57" i="1" l="1"/>
  <c r="F17" i="1" l="1"/>
  <c r="F36" i="1" l="1"/>
  <c r="F51" i="1" l="1"/>
  <c r="F23" i="1" l="1"/>
  <c r="F26" i="1"/>
  <c r="F13" i="1" l="1"/>
  <c r="F52" i="1" l="1"/>
  <c r="F18" i="1"/>
  <c r="F54" i="1" l="1"/>
  <c r="F27" i="1" l="1"/>
  <c r="F28" i="1"/>
  <c r="F29" i="1"/>
  <c r="F30" i="1"/>
  <c r="F31" i="1"/>
  <c r="F32" i="1"/>
  <c r="F33" i="1"/>
  <c r="F34" i="1"/>
  <c r="F35" i="1"/>
  <c r="F37" i="1"/>
  <c r="F38" i="1"/>
  <c r="F39" i="1"/>
  <c r="F40" i="1"/>
  <c r="F55" i="1" l="1"/>
  <c r="F56" i="1"/>
  <c r="F50" i="1"/>
  <c r="F53" i="1"/>
  <c r="F5" i="1"/>
  <c r="F7" i="1"/>
  <c r="F9" i="1"/>
  <c r="F10" i="1"/>
  <c r="F12" i="1"/>
  <c r="F14" i="1"/>
  <c r="F15" i="1"/>
  <c r="F16" i="1"/>
  <c r="F19" i="1"/>
  <c r="F20" i="1"/>
  <c r="F21" i="1"/>
  <c r="F22" i="1"/>
  <c r="F24" i="1"/>
  <c r="F25" i="1"/>
  <c r="F41" i="1"/>
  <c r="F42" i="1"/>
  <c r="F43" i="1"/>
  <c r="F44" i="1"/>
  <c r="F45" i="1"/>
  <c r="F46" i="1"/>
  <c r="F47" i="1"/>
  <c r="F48" i="1"/>
  <c r="F49" i="1"/>
  <c r="F3" i="1"/>
</calcChain>
</file>

<file path=xl/sharedStrings.xml><?xml version="1.0" encoding="utf-8"?>
<sst xmlns="http://schemas.openxmlformats.org/spreadsheetml/2006/main" count="277" uniqueCount="207">
  <si>
    <t>Item</t>
  </si>
  <si>
    <t>Part</t>
  </si>
  <si>
    <t>PCB Footprint</t>
  </si>
  <si>
    <t>Reference</t>
  </si>
  <si>
    <t>Quantity</t>
  </si>
  <si>
    <t>______________________________________________</t>
  </si>
  <si>
    <t>B2.0V-L4P</t>
  </si>
  <si>
    <t>CON1,CON2,CON3</t>
  </si>
  <si>
    <t>CON2-DIP-2.0mm</t>
  </si>
  <si>
    <t>DIP1X02PM-80-V</t>
  </si>
  <si>
    <t>C0402</t>
  </si>
  <si>
    <t>NC/0.1uF</t>
  </si>
  <si>
    <t>C0603</t>
  </si>
  <si>
    <t>DRILL126X100_L</t>
  </si>
  <si>
    <t>TP-0_8MM</t>
  </si>
  <si>
    <t>JP-1X3</t>
  </si>
  <si>
    <t>IL-FHR-10S</t>
  </si>
  <si>
    <t>JP26</t>
  </si>
  <si>
    <t>FPC-CON6_Down_Type</t>
  </si>
  <si>
    <t>IL-FHR-6S</t>
  </si>
  <si>
    <t>JP27</t>
  </si>
  <si>
    <t>J1</t>
  </si>
  <si>
    <t>CON2-H</t>
  </si>
  <si>
    <t>CON2_125</t>
  </si>
  <si>
    <t>J2</t>
  </si>
  <si>
    <t>CON10-0D5</t>
  </si>
  <si>
    <t>FPC10-0.5-2</t>
  </si>
  <si>
    <t>J5</t>
  </si>
  <si>
    <t>LED-0603</t>
  </si>
  <si>
    <t>LED1</t>
  </si>
  <si>
    <t>2.2uH/VMPI0420ED2R2MT/3A</t>
  </si>
  <si>
    <t>VMPI0420ED2R2MT</t>
  </si>
  <si>
    <t>L1</t>
  </si>
  <si>
    <t>22uF/10V/X5R</t>
  </si>
  <si>
    <t>C0805</t>
  </si>
  <si>
    <t>NC/100nF</t>
  </si>
  <si>
    <t>NC/2.2uF/10V</t>
  </si>
  <si>
    <t>SOT-23DGS</t>
  </si>
  <si>
    <t>R0402</t>
  </si>
  <si>
    <t>SMD-24-Male</t>
  </si>
  <si>
    <t>FPC-36-0.5MM-FL</t>
  </si>
  <si>
    <t>SMD-24-DS</t>
  </si>
  <si>
    <t>SW-4P-1102V</t>
  </si>
  <si>
    <t>TP</t>
  </si>
  <si>
    <t>WLCSP0.87X0.87</t>
  </si>
  <si>
    <t>U1</t>
  </si>
  <si>
    <t>Q6_ICM-42607</t>
  </si>
  <si>
    <t>LGA14_2.5X3.0</t>
  </si>
  <si>
    <t>U2</t>
  </si>
  <si>
    <t>TMII8113/MS3111S</t>
  </si>
  <si>
    <t>SOT23-6</t>
  </si>
  <si>
    <t>U3</t>
  </si>
  <si>
    <t>Name</t>
    <phoneticPr fontId="18" type="noConversion"/>
  </si>
  <si>
    <t>供应商</t>
    <phoneticPr fontId="18" type="noConversion"/>
  </si>
  <si>
    <t>联系方式</t>
    <phoneticPr fontId="18" type="noConversion"/>
  </si>
  <si>
    <t>NC</t>
    <phoneticPr fontId="18" type="noConversion"/>
  </si>
  <si>
    <t>C2,C3,C6,C7</t>
    <phoneticPr fontId="18" type="noConversion"/>
  </si>
  <si>
    <t>C8</t>
    <phoneticPr fontId="18" type="noConversion"/>
  </si>
  <si>
    <t>RESET_LPC</t>
    <phoneticPr fontId="18" type="noConversion"/>
  </si>
  <si>
    <t>H1,H2,H3,H4</t>
    <phoneticPr fontId="18" type="noConversion"/>
  </si>
  <si>
    <t>RES</t>
    <phoneticPr fontId="18" type="noConversion"/>
  </si>
  <si>
    <t>I2C2_SDA_GY,I2C2_SCL_GY</t>
    <phoneticPr fontId="18" type="noConversion"/>
  </si>
  <si>
    <t>Header/2.54mm/1*3p/180D/Male</t>
    <phoneticPr fontId="18" type="noConversion"/>
  </si>
  <si>
    <t>PC18</t>
    <phoneticPr fontId="18" type="noConversion"/>
  </si>
  <si>
    <t>PC28</t>
    <phoneticPr fontId="18" type="noConversion"/>
  </si>
  <si>
    <t>2N7002</t>
    <phoneticPr fontId="18" type="noConversion"/>
  </si>
  <si>
    <t>PR1</t>
    <phoneticPr fontId="18" type="noConversion"/>
  </si>
  <si>
    <t>47K</t>
    <phoneticPr fontId="18" type="noConversion"/>
  </si>
  <si>
    <t>PR4,PR7</t>
    <phoneticPr fontId="18" type="noConversion"/>
  </si>
  <si>
    <t>680K_1%</t>
    <phoneticPr fontId="18" type="noConversion"/>
  </si>
  <si>
    <t>R0402</t>
    <phoneticPr fontId="18" type="noConversion"/>
  </si>
  <si>
    <t>PR6</t>
    <phoneticPr fontId="18" type="noConversion"/>
  </si>
  <si>
    <t>SOT23-5P</t>
    <phoneticPr fontId="18" type="noConversion"/>
  </si>
  <si>
    <t>R4,R5,R13,R14,R15,R16</t>
    <phoneticPr fontId="18" type="noConversion"/>
  </si>
  <si>
    <t>R39,R48</t>
    <phoneticPr fontId="18" type="noConversion"/>
  </si>
  <si>
    <t>NC/30pF</t>
    <phoneticPr fontId="18" type="noConversion"/>
  </si>
  <si>
    <t>SC3,SC4</t>
    <phoneticPr fontId="18" type="noConversion"/>
  </si>
  <si>
    <t>SJ3,SJ4,SJ0</t>
    <phoneticPr fontId="18" type="noConversion"/>
  </si>
  <si>
    <t>SJ1,SJ6</t>
    <phoneticPr fontId="18" type="noConversion"/>
  </si>
  <si>
    <t>SJ5</t>
    <phoneticPr fontId="18" type="noConversion"/>
  </si>
  <si>
    <t>150K/1%</t>
    <phoneticPr fontId="18" type="noConversion"/>
  </si>
  <si>
    <t>0R</t>
    <phoneticPr fontId="18" type="noConversion"/>
  </si>
  <si>
    <t>10K</t>
    <phoneticPr fontId="18" type="noConversion"/>
  </si>
  <si>
    <t>100R</t>
    <phoneticPr fontId="18" type="noConversion"/>
  </si>
  <si>
    <t>22R</t>
    <phoneticPr fontId="18" type="noConversion"/>
  </si>
  <si>
    <t>100K</t>
    <phoneticPr fontId="18" type="noConversion"/>
  </si>
  <si>
    <t>1K</t>
    <phoneticPr fontId="18" type="noConversion"/>
  </si>
  <si>
    <t>4.7K</t>
    <phoneticPr fontId="18" type="noConversion"/>
  </si>
  <si>
    <t>2K</t>
    <phoneticPr fontId="18" type="noConversion"/>
  </si>
  <si>
    <t>FPC-36-0.5MM-FL</t>
    <phoneticPr fontId="18" type="noConversion"/>
  </si>
  <si>
    <t>NC/0R</t>
    <phoneticPr fontId="18" type="noConversion"/>
  </si>
  <si>
    <t>SR31</t>
    <phoneticPr fontId="18" type="noConversion"/>
  </si>
  <si>
    <t>TACT_SWITCH_90</t>
    <phoneticPr fontId="18" type="noConversion"/>
  </si>
  <si>
    <t>TP1</t>
    <phoneticPr fontId="18" type="noConversion"/>
  </si>
  <si>
    <t>NC/47K</t>
    <phoneticPr fontId="18" type="noConversion"/>
  </si>
  <si>
    <t>TR3</t>
    <phoneticPr fontId="18" type="noConversion"/>
  </si>
  <si>
    <t>Wafer/2.0mm/1*4p/Male</t>
    <phoneticPr fontId="18" type="noConversion"/>
  </si>
  <si>
    <t>1uF/10V/X5R</t>
    <phoneticPr fontId="18" type="noConversion"/>
  </si>
  <si>
    <t>2.2uF/10v/X5R</t>
    <phoneticPr fontId="18" type="noConversion"/>
  </si>
  <si>
    <t>4.7uF/10V/X5R</t>
    <phoneticPr fontId="18" type="noConversion"/>
  </si>
  <si>
    <t>10uF/10V/X5R</t>
    <phoneticPr fontId="18" type="noConversion"/>
  </si>
  <si>
    <t>0.1uF/6.3V/X5R</t>
    <phoneticPr fontId="18" type="noConversion"/>
  </si>
  <si>
    <t>10nF/6.3V/X5R</t>
    <phoneticPr fontId="18" type="noConversion"/>
  </si>
  <si>
    <t>22pF/6.3V/X5R</t>
    <phoneticPr fontId="18" type="noConversion"/>
  </si>
  <si>
    <t>贴片电容</t>
    <phoneticPr fontId="18" type="noConversion"/>
  </si>
  <si>
    <t>贴片电阻</t>
    <phoneticPr fontId="18" type="noConversion"/>
  </si>
  <si>
    <t>插针</t>
    <phoneticPr fontId="18" type="noConversion"/>
  </si>
  <si>
    <t>插件座子</t>
    <phoneticPr fontId="18" type="noConversion"/>
  </si>
  <si>
    <t>贴片座子</t>
    <phoneticPr fontId="18" type="noConversion"/>
  </si>
  <si>
    <t>USB座子</t>
    <phoneticPr fontId="18" type="noConversion"/>
  </si>
  <si>
    <t>贴片座子-公头</t>
    <phoneticPr fontId="18" type="noConversion"/>
  </si>
  <si>
    <t>贴片座子-母头</t>
    <phoneticPr fontId="18" type="noConversion"/>
  </si>
  <si>
    <t>按键</t>
    <phoneticPr fontId="18" type="noConversion"/>
  </si>
  <si>
    <t>LED灯</t>
    <phoneticPr fontId="18" type="noConversion"/>
  </si>
  <si>
    <t>贴片电感</t>
    <phoneticPr fontId="18" type="noConversion"/>
  </si>
  <si>
    <t>贴片Nmos</t>
    <phoneticPr fontId="18" type="noConversion"/>
  </si>
  <si>
    <t>DCDC</t>
    <phoneticPr fontId="18" type="noConversion"/>
  </si>
  <si>
    <t>PQ1,PQ2,PQ3,PQ4,PQ5,Q1</t>
    <phoneticPr fontId="18" type="noConversion"/>
  </si>
  <si>
    <t>陀螺仪</t>
    <phoneticPr fontId="18" type="noConversion"/>
  </si>
  <si>
    <t>IRCUT</t>
    <phoneticPr fontId="18" type="noConversion"/>
  </si>
  <si>
    <t>模拟开关</t>
    <phoneticPr fontId="18" type="noConversion"/>
  </si>
  <si>
    <t>SW1,SW2</t>
    <phoneticPr fontId="18" type="noConversion"/>
  </si>
  <si>
    <t>ETA7027CSE</t>
    <phoneticPr fontId="18" type="noConversion"/>
  </si>
  <si>
    <t>PC16,PC17,PC20,PC21,PC24,PC26,PC1</t>
    <phoneticPr fontId="18" type="noConversion"/>
  </si>
  <si>
    <t>PC19</t>
    <phoneticPr fontId="18" type="noConversion"/>
  </si>
  <si>
    <t>2pin 插针</t>
    <phoneticPr fontId="18" type="noConversion"/>
  </si>
  <si>
    <t>JP-1X2</t>
    <phoneticPr fontId="18" type="noConversion"/>
  </si>
  <si>
    <t>卧式贴片座子</t>
    <phoneticPr fontId="18" type="noConversion"/>
  </si>
  <si>
    <t>PC12,SC2,SC5,SC8,SC10,PC11,SC13,SC15</t>
    <phoneticPr fontId="18" type="noConversion"/>
  </si>
  <si>
    <t>PC15,PC8,PC5,PC23,PC4,PC6,PC10,C10,SC11,C16,C13,SC17,SC18</t>
    <phoneticPr fontId="18" type="noConversion"/>
  </si>
  <si>
    <t>JP1,JP3</t>
    <phoneticPr fontId="18" type="noConversion"/>
  </si>
  <si>
    <t>LDO</t>
    <phoneticPr fontId="18" type="noConversion"/>
  </si>
  <si>
    <t>TMI6036-18</t>
    <phoneticPr fontId="18" type="noConversion"/>
  </si>
  <si>
    <t>PU1</t>
    <phoneticPr fontId="18" type="noConversion"/>
  </si>
  <si>
    <t>PU2</t>
    <phoneticPr fontId="18" type="noConversion"/>
  </si>
  <si>
    <t>TMI3411</t>
    <phoneticPr fontId="18" type="noConversion"/>
  </si>
  <si>
    <t>47nF/10V/X5R</t>
    <phoneticPr fontId="18" type="noConversion"/>
  </si>
  <si>
    <t>C0402</t>
    <phoneticPr fontId="18" type="noConversion"/>
  </si>
  <si>
    <t>C22,C23</t>
    <phoneticPr fontId="18" type="noConversion"/>
  </si>
  <si>
    <t>0R</t>
    <phoneticPr fontId="18" type="noConversion"/>
  </si>
  <si>
    <t>B1,B2</t>
    <phoneticPr fontId="18" type="noConversion"/>
  </si>
  <si>
    <t>L0603</t>
    <phoneticPr fontId="18" type="noConversion"/>
  </si>
  <si>
    <t>0.22nF/10V/X5R</t>
    <phoneticPr fontId="18" type="noConversion"/>
  </si>
  <si>
    <t>C24</t>
    <phoneticPr fontId="18" type="noConversion"/>
  </si>
  <si>
    <t>CON4,CON5,CON6</t>
    <phoneticPr fontId="18" type="noConversion"/>
  </si>
  <si>
    <t>AMP IC</t>
    <phoneticPr fontId="18" type="noConversion"/>
  </si>
  <si>
    <t>AW8737AQNR</t>
    <phoneticPr fontId="18" type="noConversion"/>
  </si>
  <si>
    <t>WLQFN</t>
    <phoneticPr fontId="18" type="noConversion"/>
  </si>
  <si>
    <t>U4</t>
    <phoneticPr fontId="18" type="noConversion"/>
  </si>
  <si>
    <t>J6</t>
    <phoneticPr fontId="18" type="noConversion"/>
  </si>
  <si>
    <t>J4</t>
    <phoneticPr fontId="18" type="noConversion"/>
  </si>
  <si>
    <t>JP-1X16</t>
    <phoneticPr fontId="18" type="noConversion"/>
  </si>
  <si>
    <t>双排16pin 插针</t>
    <phoneticPr fontId="18" type="noConversion"/>
  </si>
  <si>
    <t>JP-1X18</t>
    <phoneticPr fontId="18" type="noConversion"/>
  </si>
  <si>
    <t>双排18pin 插针</t>
    <phoneticPr fontId="18" type="noConversion"/>
  </si>
  <si>
    <t>C0603</t>
    <phoneticPr fontId="18" type="noConversion"/>
  </si>
  <si>
    <t>PC7,SC1,PC3,SC6,SC7,SC9,PC9,PC13,C1,SC14,SC16</t>
    <phoneticPr fontId="18" type="noConversion"/>
  </si>
  <si>
    <t>C18,C21</t>
  </si>
  <si>
    <t>C5</t>
    <phoneticPr fontId="18" type="noConversion"/>
  </si>
  <si>
    <t>C19,C20</t>
    <phoneticPr fontId="18" type="noConversion"/>
  </si>
  <si>
    <t>C0603</t>
    <phoneticPr fontId="18" type="noConversion"/>
  </si>
  <si>
    <t>R6,R17,R18,R19,R20,R21,R24,R25,R26,R27,R28,R29,R30,R31,R32,R33,R34,R35,R36,R37,R38,R51</t>
    <phoneticPr fontId="18" type="noConversion"/>
  </si>
  <si>
    <t>PC2,PC14,PC22,PC27,C9,C11,SC12,C12,C14,C15,SC19.SC20,C17,C6</t>
    <phoneticPr fontId="18" type="noConversion"/>
  </si>
  <si>
    <t>C25,C26</t>
    <phoneticPr fontId="18" type="noConversion"/>
  </si>
  <si>
    <t>0.1nF/6.3V/X5R</t>
    <phoneticPr fontId="18" type="noConversion"/>
  </si>
  <si>
    <t>新增</t>
    <phoneticPr fontId="18" type="noConversion"/>
  </si>
  <si>
    <t>USB_TypeC_Part No:USB24P-C317JD</t>
    <phoneticPr fontId="18" type="noConversion"/>
  </si>
  <si>
    <t>USB24P-C317JD</t>
  </si>
  <si>
    <t>R7,R8,R50,R61,PR145,PR146</t>
    <phoneticPr fontId="18" type="noConversion"/>
  </si>
  <si>
    <t>新增2pcs</t>
    <phoneticPr fontId="18" type="noConversion"/>
  </si>
  <si>
    <t>12.4K%1</t>
    <phoneticPr fontId="18" type="noConversion"/>
  </si>
  <si>
    <t>R0402</t>
    <phoneticPr fontId="18" type="noConversion"/>
  </si>
  <si>
    <t>PR147</t>
    <phoneticPr fontId="18" type="noConversion"/>
  </si>
  <si>
    <t>新增1</t>
    <phoneticPr fontId="18" type="noConversion"/>
  </si>
  <si>
    <t>3K%1</t>
    <phoneticPr fontId="18" type="noConversion"/>
  </si>
  <si>
    <t>PR148</t>
    <phoneticPr fontId="18" type="noConversion"/>
  </si>
  <si>
    <t>C4,PC127</t>
    <phoneticPr fontId="18" type="noConversion"/>
  </si>
  <si>
    <t>TWR1,TWR3,TR2,R12,R40,R41,R44,R45,R55,R58,R59,R74,R75</t>
    <phoneticPr fontId="18" type="noConversion"/>
  </si>
  <si>
    <t>R57,R95</t>
    <phoneticPr fontId="18" type="noConversion"/>
  </si>
  <si>
    <t>JP2,JP52,JP53,JP54,JP55</t>
    <phoneticPr fontId="18" type="noConversion"/>
  </si>
  <si>
    <t>增加2</t>
    <phoneticPr fontId="18" type="noConversion"/>
  </si>
  <si>
    <t>光敏</t>
    <phoneticPr fontId="18" type="noConversion"/>
  </si>
  <si>
    <t>OPT3004</t>
    <phoneticPr fontId="18" type="noConversion"/>
  </si>
  <si>
    <t>U5</t>
    <phoneticPr fontId="18" type="noConversion"/>
  </si>
  <si>
    <t>DNP-6</t>
    <phoneticPr fontId="18" type="noConversion"/>
  </si>
  <si>
    <t>新增</t>
    <phoneticPr fontId="18" type="noConversion"/>
  </si>
  <si>
    <t>新增2</t>
    <phoneticPr fontId="18" type="noConversion"/>
  </si>
  <si>
    <t>R3,R10,R53,R89,R90,TWR33,TWR34</t>
    <phoneticPr fontId="18" type="noConversion"/>
  </si>
  <si>
    <t>R11,R9,R46,R52,R54</t>
    <phoneticPr fontId="18" type="noConversion"/>
  </si>
  <si>
    <t>4pin 2.54MM 插针</t>
    <phoneticPr fontId="18" type="noConversion"/>
  </si>
  <si>
    <t>JP-1X4</t>
    <phoneticPr fontId="18" type="noConversion"/>
  </si>
  <si>
    <t>新增</t>
    <phoneticPr fontId="18" type="noConversion"/>
  </si>
  <si>
    <t>JP56,JP57,JP58</t>
    <phoneticPr fontId="18" type="noConversion"/>
  </si>
  <si>
    <t>SR1,R1,SR2,R2,SR5,SR6,SR7,SR8,SR9,SR10,SR11,SR12,SR13,SR14,SR15,SR16,SR17,SR18,SR19,SR20,SR21,SR22,SR23,SR24,SR25,SR26,SR27,SR28,SR29,SR30,SR32,SR35,SR36,R47,R56,R60,R62,R63,R64,R65,R66,R67,R68,R69,R70,R71,R72,R73,R76,R77,R78,R79,R80,R82,R83,R84,R85,R86,R87,R88,R91,R92,R93</t>
    <phoneticPr fontId="18" type="noConversion"/>
  </si>
  <si>
    <t>R49</t>
    <phoneticPr fontId="18" type="noConversion"/>
  </si>
  <si>
    <t>0R</t>
    <phoneticPr fontId="18" type="noConversion"/>
  </si>
  <si>
    <t>R0805</t>
    <phoneticPr fontId="18" type="noConversion"/>
  </si>
  <si>
    <t>TMI6011</t>
    <phoneticPr fontId="18" type="noConversion"/>
  </si>
  <si>
    <t>DFN3X3</t>
    <phoneticPr fontId="18" type="noConversion"/>
  </si>
  <si>
    <t>PU14</t>
    <phoneticPr fontId="18" type="noConversion"/>
  </si>
  <si>
    <t>拓尔</t>
    <phoneticPr fontId="18" type="noConversion"/>
  </si>
  <si>
    <t>FPC-CON10_Down_Type 1.0mm间距</t>
    <phoneticPr fontId="18" type="noConversion"/>
  </si>
  <si>
    <t>ETA</t>
    <phoneticPr fontId="18" type="noConversion"/>
  </si>
  <si>
    <t>艾为</t>
    <phoneticPr fontId="18" type="noConversion"/>
  </si>
  <si>
    <t>LED/Blue_1.8V</t>
    <phoneticPr fontId="18" type="noConversion"/>
  </si>
  <si>
    <t>BK13C06-24DS/2-0.35V</t>
    <phoneticPr fontId="18" type="noConversion"/>
  </si>
  <si>
    <t>BK13C06-24DP/2-0.35V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</si>
</sst>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>
      <alignment vertical="center"/>
    </xf>
    <xf numFmtId="0" fontId="19" fillId="0" borderId="10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1" xfId="0" applyBorder="1">
      <alignment vertical="center"/>
    </xf>
    <xf numFmtId="0" fontId="0" fillId="0" borderId="11" xfId="0" applyBorder="1" applyAlignment="1">
      <alignment vertical="center" wrapText="1"/>
    </xf>
    <xf numFmtId="0" fontId="0" fillId="33" borderId="11" xfId="0" applyFill="1" applyBorder="1">
      <alignment vertical="center"/>
    </xf>
    <xf numFmtId="0" fontId="0" fillId="33" borderId="11" xfId="0" applyFill="1" applyBorder="1" applyAlignment="1">
      <alignment vertical="center" wrapText="1"/>
    </xf>
    <xf numFmtId="0" fontId="0" fillId="34" borderId="11" xfId="0" applyFill="1" applyBorder="1">
      <alignment vertical="center"/>
    </xf>
    <xf numFmtId="0" fontId="0" fillId="34" borderId="11" xfId="0" applyFill="1" applyBorder="1" applyAlignment="1">
      <alignment vertical="center" wrapText="1"/>
    </xf>
    <xf numFmtId="0" fontId="0" fillId="34" borderId="11" xfId="0" applyFill="1" applyBorder="1" applyAlignment="1">
      <alignment horizontal="center" vertical="center"/>
    </xf>
    <xf numFmtId="0" fontId="0" fillId="33" borderId="11" xfId="0" applyFill="1" applyBorder="1" applyAlignment="1">
      <alignment horizontal="left" vertical="center"/>
    </xf>
    <xf numFmtId="0" fontId="0" fillId="34" borderId="11" xfId="0" applyFill="1" applyBorder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tabSelected="1" topLeftCell="A19" workbookViewId="0">
      <selection activeCell="C45" sqref="C45"/>
    </sheetView>
  </sheetViews>
  <sheetFormatPr defaultRowHeight="13.5" x14ac:dyDescent="0.15"/>
  <cols>
    <col min="1" max="1" width="7.5" style="5" customWidth="1"/>
    <col min="2" max="2" width="18.125" customWidth="1"/>
    <col min="3" max="3" width="58.875" style="8" customWidth="1"/>
    <col min="4" max="4" width="19.625" customWidth="1"/>
    <col min="5" max="5" width="69" style="9" customWidth="1"/>
    <col min="6" max="6" width="9" style="5"/>
    <col min="7" max="7" width="22.125" customWidth="1"/>
  </cols>
  <sheetData>
    <row r="1" spans="1:9" ht="14.25" thickBot="1" x14ac:dyDescent="0.2">
      <c r="A1" s="1" t="s">
        <v>0</v>
      </c>
      <c r="B1" s="2" t="s">
        <v>52</v>
      </c>
      <c r="C1" s="2" t="s">
        <v>1</v>
      </c>
      <c r="D1" s="3" t="s">
        <v>2</v>
      </c>
      <c r="E1" s="4" t="s">
        <v>3</v>
      </c>
      <c r="F1" s="1" t="s">
        <v>4</v>
      </c>
      <c r="G1" s="3" t="s">
        <v>53</v>
      </c>
      <c r="H1" s="3" t="s">
        <v>54</v>
      </c>
    </row>
    <row r="2" spans="1:9" x14ac:dyDescent="0.15">
      <c r="A2" s="5" t="s">
        <v>5</v>
      </c>
    </row>
    <row r="3" spans="1:9" x14ac:dyDescent="0.15">
      <c r="A3" s="6">
        <v>1</v>
      </c>
      <c r="B3" s="10" t="s">
        <v>104</v>
      </c>
      <c r="C3" s="10" t="s">
        <v>103</v>
      </c>
      <c r="D3" s="10" t="s">
        <v>10</v>
      </c>
      <c r="E3" s="11" t="s">
        <v>124</v>
      </c>
      <c r="F3" s="6">
        <f>LEN(E3)-LEN(SUBSTITUTE(E3,",",""))+1</f>
        <v>1</v>
      </c>
      <c r="G3" s="10"/>
      <c r="H3" s="10"/>
    </row>
    <row r="4" spans="1:9" x14ac:dyDescent="0.15">
      <c r="A4" s="6">
        <v>2</v>
      </c>
      <c r="B4" s="10" t="s">
        <v>104</v>
      </c>
      <c r="C4" s="10" t="s">
        <v>164</v>
      </c>
      <c r="D4" s="10" t="s">
        <v>10</v>
      </c>
      <c r="E4" s="11" t="s">
        <v>163</v>
      </c>
      <c r="F4" s="6">
        <v>2</v>
      </c>
      <c r="G4" s="10"/>
      <c r="H4" s="10"/>
      <c r="I4" t="s">
        <v>165</v>
      </c>
    </row>
    <row r="5" spans="1:9" x14ac:dyDescent="0.15">
      <c r="A5" s="6">
        <v>3</v>
      </c>
      <c r="B5" s="10" t="s">
        <v>104</v>
      </c>
      <c r="C5" s="10" t="s">
        <v>102</v>
      </c>
      <c r="D5" s="10" t="s">
        <v>10</v>
      </c>
      <c r="E5" s="11" t="s">
        <v>176</v>
      </c>
      <c r="F5" s="6">
        <f t="shared" ref="F5:F49" si="0">LEN(E5)-LEN(SUBSTITUTE(E5,",",""))+1</f>
        <v>2</v>
      </c>
      <c r="G5" s="10"/>
      <c r="H5" s="10"/>
      <c r="I5" t="s">
        <v>173</v>
      </c>
    </row>
    <row r="6" spans="1:9" x14ac:dyDescent="0.15">
      <c r="A6" s="6">
        <v>4</v>
      </c>
      <c r="B6" s="10" t="s">
        <v>104</v>
      </c>
      <c r="C6" s="10" t="s">
        <v>136</v>
      </c>
      <c r="D6" s="10" t="s">
        <v>160</v>
      </c>
      <c r="E6" s="11" t="s">
        <v>138</v>
      </c>
      <c r="F6" s="6"/>
      <c r="G6" s="10"/>
      <c r="H6" s="10"/>
    </row>
    <row r="7" spans="1:9" x14ac:dyDescent="0.15">
      <c r="A7" s="6">
        <v>5</v>
      </c>
      <c r="B7" s="10" t="s">
        <v>104</v>
      </c>
      <c r="C7" s="10" t="s">
        <v>101</v>
      </c>
      <c r="D7" s="10" t="s">
        <v>10</v>
      </c>
      <c r="E7" s="11" t="s">
        <v>162</v>
      </c>
      <c r="F7" s="6">
        <f t="shared" si="0"/>
        <v>13</v>
      </c>
      <c r="G7" s="10"/>
      <c r="H7" s="10"/>
    </row>
    <row r="8" spans="1:9" x14ac:dyDescent="0.15">
      <c r="A8" s="6">
        <v>6</v>
      </c>
      <c r="B8" s="10" t="s">
        <v>104</v>
      </c>
      <c r="C8" s="10" t="s">
        <v>142</v>
      </c>
      <c r="D8" s="10" t="s">
        <v>137</v>
      </c>
      <c r="E8" s="11" t="s">
        <v>143</v>
      </c>
      <c r="F8" s="6"/>
      <c r="G8" s="10"/>
      <c r="H8" s="10"/>
    </row>
    <row r="9" spans="1:9" x14ac:dyDescent="0.15">
      <c r="A9" s="6">
        <v>7</v>
      </c>
      <c r="B9" s="10" t="s">
        <v>104</v>
      </c>
      <c r="C9" s="10" t="s">
        <v>97</v>
      </c>
      <c r="D9" s="10" t="s">
        <v>10</v>
      </c>
      <c r="E9" s="11" t="s">
        <v>128</v>
      </c>
      <c r="F9" s="6">
        <f t="shared" si="0"/>
        <v>8</v>
      </c>
      <c r="G9" s="10"/>
      <c r="H9" s="10"/>
    </row>
    <row r="10" spans="1:9" x14ac:dyDescent="0.15">
      <c r="A10" s="6">
        <v>8</v>
      </c>
      <c r="B10" s="10" t="s">
        <v>104</v>
      </c>
      <c r="C10" s="10" t="s">
        <v>98</v>
      </c>
      <c r="D10" s="10" t="s">
        <v>10</v>
      </c>
      <c r="E10" s="11" t="s">
        <v>158</v>
      </c>
      <c r="F10" s="6">
        <f t="shared" si="0"/>
        <v>1</v>
      </c>
      <c r="G10" s="10"/>
      <c r="H10" s="10"/>
    </row>
    <row r="11" spans="1:9" x14ac:dyDescent="0.15">
      <c r="A11" s="6">
        <v>9</v>
      </c>
      <c r="B11" s="10" t="s">
        <v>104</v>
      </c>
      <c r="C11" s="10" t="s">
        <v>98</v>
      </c>
      <c r="D11" s="10" t="s">
        <v>155</v>
      </c>
      <c r="E11" s="11" t="s">
        <v>159</v>
      </c>
      <c r="F11" s="6"/>
      <c r="G11" s="10"/>
      <c r="H11" s="10"/>
    </row>
    <row r="12" spans="1:9" x14ac:dyDescent="0.15">
      <c r="A12" s="6">
        <v>10</v>
      </c>
      <c r="B12" s="10" t="s">
        <v>104</v>
      </c>
      <c r="C12" s="10" t="s">
        <v>99</v>
      </c>
      <c r="D12" s="10" t="s">
        <v>10</v>
      </c>
      <c r="E12" s="11" t="s">
        <v>156</v>
      </c>
      <c r="F12" s="6">
        <f t="shared" si="0"/>
        <v>11</v>
      </c>
      <c r="G12" s="10"/>
      <c r="H12" s="10"/>
    </row>
    <row r="13" spans="1:9" x14ac:dyDescent="0.15">
      <c r="A13" s="6">
        <v>11</v>
      </c>
      <c r="B13" s="10" t="s">
        <v>104</v>
      </c>
      <c r="C13" s="10" t="s">
        <v>99</v>
      </c>
      <c r="D13" s="10" t="s">
        <v>155</v>
      </c>
      <c r="E13" s="11" t="s">
        <v>157</v>
      </c>
      <c r="F13" s="6">
        <f t="shared" si="0"/>
        <v>2</v>
      </c>
      <c r="G13" s="10"/>
      <c r="H13" s="10"/>
    </row>
    <row r="14" spans="1:9" x14ac:dyDescent="0.15">
      <c r="A14" s="6">
        <v>12</v>
      </c>
      <c r="B14" s="10" t="s">
        <v>104</v>
      </c>
      <c r="C14" s="10" t="s">
        <v>100</v>
      </c>
      <c r="D14" s="10" t="s">
        <v>12</v>
      </c>
      <c r="E14" s="11" t="s">
        <v>129</v>
      </c>
      <c r="F14" s="6">
        <f t="shared" si="0"/>
        <v>13</v>
      </c>
      <c r="G14" s="10"/>
      <c r="H14" s="10"/>
    </row>
    <row r="15" spans="1:9" x14ac:dyDescent="0.15">
      <c r="A15" s="6">
        <v>13</v>
      </c>
      <c r="B15" s="10" t="s">
        <v>104</v>
      </c>
      <c r="C15" s="10" t="s">
        <v>33</v>
      </c>
      <c r="D15" s="10" t="s">
        <v>34</v>
      </c>
      <c r="E15" s="11" t="s">
        <v>123</v>
      </c>
      <c r="F15" s="6">
        <f t="shared" si="0"/>
        <v>7</v>
      </c>
      <c r="G15" s="10"/>
      <c r="H15" s="10"/>
    </row>
    <row r="16" spans="1:9" ht="67.5" x14ac:dyDescent="0.15">
      <c r="A16" s="6">
        <v>14</v>
      </c>
      <c r="B16" s="10" t="s">
        <v>105</v>
      </c>
      <c r="C16" s="10" t="s">
        <v>81</v>
      </c>
      <c r="D16" s="10" t="s">
        <v>38</v>
      </c>
      <c r="E16" s="11" t="s">
        <v>193</v>
      </c>
      <c r="F16" s="6">
        <f t="shared" si="0"/>
        <v>63</v>
      </c>
      <c r="G16" s="10"/>
      <c r="H16" s="10"/>
    </row>
    <row r="17" spans="1:9" x14ac:dyDescent="0.15">
      <c r="A17" s="6">
        <v>15</v>
      </c>
      <c r="B17" s="10" t="s">
        <v>105</v>
      </c>
      <c r="C17" s="10" t="s">
        <v>195</v>
      </c>
      <c r="D17" s="10" t="s">
        <v>196</v>
      </c>
      <c r="E17" s="11" t="s">
        <v>194</v>
      </c>
      <c r="F17" s="6">
        <f t="shared" si="0"/>
        <v>1</v>
      </c>
      <c r="G17" s="10"/>
      <c r="H17" s="10"/>
    </row>
    <row r="18" spans="1:9" x14ac:dyDescent="0.15">
      <c r="A18" s="6">
        <v>16</v>
      </c>
      <c r="B18" s="10" t="s">
        <v>105</v>
      </c>
      <c r="C18" s="10" t="s">
        <v>139</v>
      </c>
      <c r="D18" s="10" t="s">
        <v>141</v>
      </c>
      <c r="E18" s="11" t="s">
        <v>140</v>
      </c>
      <c r="F18" s="6">
        <f t="shared" si="0"/>
        <v>2</v>
      </c>
      <c r="G18" s="10"/>
      <c r="H18" s="10"/>
    </row>
    <row r="19" spans="1:9" ht="27" x14ac:dyDescent="0.15">
      <c r="A19" s="6">
        <v>17</v>
      </c>
      <c r="B19" s="10" t="s">
        <v>105</v>
      </c>
      <c r="C19" s="10" t="s">
        <v>84</v>
      </c>
      <c r="D19" s="10" t="s">
        <v>38</v>
      </c>
      <c r="E19" s="11" t="s">
        <v>161</v>
      </c>
      <c r="F19" s="6">
        <f t="shared" si="0"/>
        <v>22</v>
      </c>
      <c r="G19" s="10"/>
      <c r="H19" s="10"/>
    </row>
    <row r="20" spans="1:9" x14ac:dyDescent="0.15">
      <c r="A20" s="6">
        <v>18</v>
      </c>
      <c r="B20" s="10" t="s">
        <v>105</v>
      </c>
      <c r="C20" s="10" t="s">
        <v>83</v>
      </c>
      <c r="D20" s="10" t="s">
        <v>38</v>
      </c>
      <c r="E20" s="11" t="s">
        <v>73</v>
      </c>
      <c r="F20" s="6">
        <f t="shared" si="0"/>
        <v>6</v>
      </c>
      <c r="G20" s="10"/>
      <c r="H20" s="10"/>
    </row>
    <row r="21" spans="1:9" x14ac:dyDescent="0.15">
      <c r="A21" s="6">
        <v>19</v>
      </c>
      <c r="B21" s="10" t="s">
        <v>105</v>
      </c>
      <c r="C21" s="10" t="s">
        <v>86</v>
      </c>
      <c r="D21" s="10" t="s">
        <v>38</v>
      </c>
      <c r="E21" s="11" t="s">
        <v>188</v>
      </c>
      <c r="F21" s="6">
        <f t="shared" si="0"/>
        <v>5</v>
      </c>
      <c r="G21" s="10"/>
      <c r="H21" s="10"/>
    </row>
    <row r="22" spans="1:9" x14ac:dyDescent="0.15">
      <c r="A22" s="6">
        <v>20</v>
      </c>
      <c r="B22" s="10" t="s">
        <v>105</v>
      </c>
      <c r="C22" s="10" t="s">
        <v>88</v>
      </c>
      <c r="D22" s="10" t="s">
        <v>38</v>
      </c>
      <c r="E22" s="11" t="s">
        <v>178</v>
      </c>
      <c r="F22" s="6">
        <f t="shared" si="0"/>
        <v>2</v>
      </c>
      <c r="G22" s="10"/>
      <c r="H22" s="10"/>
    </row>
    <row r="23" spans="1:9" x14ac:dyDescent="0.15">
      <c r="A23" s="6">
        <v>21</v>
      </c>
      <c r="B23" s="10" t="s">
        <v>105</v>
      </c>
      <c r="C23" s="10" t="s">
        <v>174</v>
      </c>
      <c r="D23" s="10" t="s">
        <v>171</v>
      </c>
      <c r="E23" s="11" t="s">
        <v>175</v>
      </c>
      <c r="F23" s="6">
        <f t="shared" si="0"/>
        <v>1</v>
      </c>
      <c r="G23" s="10"/>
      <c r="H23" s="10"/>
      <c r="I23" t="s">
        <v>173</v>
      </c>
    </row>
    <row r="24" spans="1:9" x14ac:dyDescent="0.15">
      <c r="A24" s="6">
        <v>22</v>
      </c>
      <c r="B24" s="10" t="s">
        <v>105</v>
      </c>
      <c r="C24" s="10" t="s">
        <v>87</v>
      </c>
      <c r="D24" s="10" t="s">
        <v>38</v>
      </c>
      <c r="E24" s="11" t="s">
        <v>177</v>
      </c>
      <c r="F24" s="6">
        <f t="shared" si="0"/>
        <v>13</v>
      </c>
      <c r="G24" s="10"/>
      <c r="H24" s="10"/>
    </row>
    <row r="25" spans="1:9" x14ac:dyDescent="0.15">
      <c r="A25" s="6">
        <v>23</v>
      </c>
      <c r="B25" s="10" t="s">
        <v>105</v>
      </c>
      <c r="C25" s="10" t="s">
        <v>82</v>
      </c>
      <c r="D25" s="10" t="s">
        <v>38</v>
      </c>
      <c r="E25" s="11" t="s">
        <v>187</v>
      </c>
      <c r="F25" s="6">
        <f t="shared" si="0"/>
        <v>7</v>
      </c>
      <c r="G25" s="10"/>
      <c r="H25" s="10"/>
      <c r="I25" t="s">
        <v>186</v>
      </c>
    </row>
    <row r="26" spans="1:9" x14ac:dyDescent="0.15">
      <c r="A26" s="6">
        <v>24</v>
      </c>
      <c r="B26" s="10" t="s">
        <v>105</v>
      </c>
      <c r="C26" s="10" t="s">
        <v>170</v>
      </c>
      <c r="D26" s="10" t="s">
        <v>171</v>
      </c>
      <c r="E26" s="11" t="s">
        <v>172</v>
      </c>
      <c r="F26" s="6">
        <f t="shared" si="0"/>
        <v>1</v>
      </c>
      <c r="G26" s="10"/>
      <c r="H26" s="10"/>
      <c r="I26" t="s">
        <v>173</v>
      </c>
    </row>
    <row r="27" spans="1:9" x14ac:dyDescent="0.15">
      <c r="A27" s="6">
        <v>25</v>
      </c>
      <c r="B27" s="10" t="s">
        <v>105</v>
      </c>
      <c r="C27" s="10" t="s">
        <v>67</v>
      </c>
      <c r="D27" s="10" t="s">
        <v>38</v>
      </c>
      <c r="E27" s="11" t="s">
        <v>68</v>
      </c>
      <c r="F27" s="6">
        <f t="shared" si="0"/>
        <v>2</v>
      </c>
      <c r="G27" s="10"/>
      <c r="H27" s="10"/>
    </row>
    <row r="28" spans="1:9" x14ac:dyDescent="0.15">
      <c r="A28" s="6">
        <v>26</v>
      </c>
      <c r="B28" s="10" t="s">
        <v>105</v>
      </c>
      <c r="C28" s="10" t="s">
        <v>85</v>
      </c>
      <c r="D28" s="10" t="s">
        <v>38</v>
      </c>
      <c r="E28" s="11" t="s">
        <v>168</v>
      </c>
      <c r="F28" s="6">
        <f t="shared" si="0"/>
        <v>6</v>
      </c>
      <c r="G28" s="10"/>
      <c r="H28" s="10"/>
      <c r="I28" t="s">
        <v>169</v>
      </c>
    </row>
    <row r="29" spans="1:9" x14ac:dyDescent="0.15">
      <c r="A29" s="6">
        <v>27</v>
      </c>
      <c r="B29" s="10" t="s">
        <v>105</v>
      </c>
      <c r="C29" s="10" t="s">
        <v>80</v>
      </c>
      <c r="D29" s="10" t="s">
        <v>38</v>
      </c>
      <c r="E29" s="11" t="s">
        <v>66</v>
      </c>
      <c r="F29" s="6">
        <f t="shared" si="0"/>
        <v>1</v>
      </c>
      <c r="G29" s="10"/>
      <c r="H29" s="10"/>
    </row>
    <row r="30" spans="1:9" x14ac:dyDescent="0.15">
      <c r="A30" s="6">
        <v>28</v>
      </c>
      <c r="B30" s="10" t="s">
        <v>105</v>
      </c>
      <c r="C30" s="10" t="s">
        <v>69</v>
      </c>
      <c r="D30" s="10" t="s">
        <v>70</v>
      </c>
      <c r="E30" s="11" t="s">
        <v>71</v>
      </c>
      <c r="F30" s="6">
        <f t="shared" si="0"/>
        <v>1</v>
      </c>
      <c r="G30" s="10"/>
      <c r="H30" s="10"/>
    </row>
    <row r="31" spans="1:9" x14ac:dyDescent="0.15">
      <c r="A31" s="6">
        <v>29</v>
      </c>
      <c r="B31" s="10" t="s">
        <v>127</v>
      </c>
      <c r="C31" s="10" t="s">
        <v>22</v>
      </c>
      <c r="D31" s="10" t="s">
        <v>23</v>
      </c>
      <c r="E31" s="11" t="s">
        <v>24</v>
      </c>
      <c r="F31" s="6">
        <f t="shared" si="0"/>
        <v>1</v>
      </c>
      <c r="G31" s="10"/>
      <c r="H31" s="10"/>
    </row>
    <row r="32" spans="1:9" x14ac:dyDescent="0.15">
      <c r="A32" s="6">
        <v>30</v>
      </c>
      <c r="B32" s="10" t="s">
        <v>107</v>
      </c>
      <c r="C32" s="10" t="s">
        <v>96</v>
      </c>
      <c r="D32" s="10" t="s">
        <v>6</v>
      </c>
      <c r="E32" s="10" t="s">
        <v>7</v>
      </c>
      <c r="F32" s="6">
        <f t="shared" si="0"/>
        <v>3</v>
      </c>
      <c r="G32" s="10"/>
      <c r="H32" s="10"/>
    </row>
    <row r="33" spans="1:9" x14ac:dyDescent="0.15">
      <c r="A33" s="6">
        <v>31</v>
      </c>
      <c r="B33" s="10" t="s">
        <v>107</v>
      </c>
      <c r="C33" s="10" t="s">
        <v>8</v>
      </c>
      <c r="D33" s="10" t="s">
        <v>9</v>
      </c>
      <c r="E33" s="10" t="s">
        <v>144</v>
      </c>
      <c r="F33" s="6">
        <f t="shared" si="0"/>
        <v>3</v>
      </c>
      <c r="G33" s="10"/>
      <c r="H33" s="10"/>
    </row>
    <row r="34" spans="1:9" x14ac:dyDescent="0.15">
      <c r="A34" s="6">
        <v>32</v>
      </c>
      <c r="B34" s="10" t="s">
        <v>106</v>
      </c>
      <c r="C34" s="10" t="s">
        <v>62</v>
      </c>
      <c r="D34" s="10" t="s">
        <v>15</v>
      </c>
      <c r="E34" s="11" t="s">
        <v>179</v>
      </c>
      <c r="F34" s="6">
        <f t="shared" si="0"/>
        <v>5</v>
      </c>
      <c r="G34" s="10"/>
      <c r="H34" s="10"/>
      <c r="I34" t="s">
        <v>180</v>
      </c>
    </row>
    <row r="35" spans="1:9" x14ac:dyDescent="0.15">
      <c r="A35" s="6">
        <v>33</v>
      </c>
      <c r="B35" s="10" t="s">
        <v>106</v>
      </c>
      <c r="C35" s="10" t="s">
        <v>125</v>
      </c>
      <c r="D35" s="10" t="s">
        <v>126</v>
      </c>
      <c r="E35" s="11" t="s">
        <v>130</v>
      </c>
      <c r="F35" s="6">
        <f t="shared" si="0"/>
        <v>2</v>
      </c>
      <c r="G35" s="10"/>
      <c r="H35" s="10"/>
    </row>
    <row r="36" spans="1:9" x14ac:dyDescent="0.15">
      <c r="A36" s="6">
        <v>34</v>
      </c>
      <c r="B36" s="10" t="s">
        <v>106</v>
      </c>
      <c r="C36" s="10" t="s">
        <v>189</v>
      </c>
      <c r="D36" s="10" t="s">
        <v>190</v>
      </c>
      <c r="E36" s="11" t="s">
        <v>192</v>
      </c>
      <c r="F36" s="6">
        <f t="shared" si="0"/>
        <v>3</v>
      </c>
      <c r="G36" s="10"/>
      <c r="H36" s="10"/>
      <c r="I36" t="s">
        <v>191</v>
      </c>
    </row>
    <row r="37" spans="1:9" x14ac:dyDescent="0.15">
      <c r="A37" s="6">
        <v>35</v>
      </c>
      <c r="B37" s="10" t="s">
        <v>106</v>
      </c>
      <c r="C37" s="10" t="s">
        <v>152</v>
      </c>
      <c r="D37" s="10" t="s">
        <v>151</v>
      </c>
      <c r="E37" s="11" t="s">
        <v>150</v>
      </c>
      <c r="F37" s="6">
        <f t="shared" si="0"/>
        <v>1</v>
      </c>
      <c r="G37" s="10"/>
      <c r="H37" s="10"/>
    </row>
    <row r="38" spans="1:9" x14ac:dyDescent="0.15">
      <c r="A38" s="6">
        <v>36</v>
      </c>
      <c r="B38" s="10" t="s">
        <v>106</v>
      </c>
      <c r="C38" s="10" t="s">
        <v>154</v>
      </c>
      <c r="D38" s="10" t="s">
        <v>153</v>
      </c>
      <c r="E38" s="11" t="s">
        <v>149</v>
      </c>
      <c r="F38" s="6">
        <f t="shared" si="0"/>
        <v>1</v>
      </c>
      <c r="G38" s="10"/>
      <c r="H38" s="10"/>
    </row>
    <row r="39" spans="1:9" x14ac:dyDescent="0.15">
      <c r="A39" s="6">
        <v>37</v>
      </c>
      <c r="B39" s="10" t="s">
        <v>108</v>
      </c>
      <c r="C39" s="10" t="s">
        <v>201</v>
      </c>
      <c r="D39" t="s">
        <v>16</v>
      </c>
      <c r="E39" s="9" t="s">
        <v>17</v>
      </c>
      <c r="F39" s="6">
        <f t="shared" si="0"/>
        <v>1</v>
      </c>
      <c r="G39" s="10"/>
      <c r="H39" s="10"/>
    </row>
    <row r="40" spans="1:9" x14ac:dyDescent="0.15">
      <c r="A40" s="6">
        <v>38</v>
      </c>
      <c r="B40" s="10" t="s">
        <v>108</v>
      </c>
      <c r="C40" s="10" t="s">
        <v>18</v>
      </c>
      <c r="D40" s="10" t="s">
        <v>19</v>
      </c>
      <c r="E40" s="11" t="s">
        <v>20</v>
      </c>
      <c r="F40" s="6">
        <f t="shared" si="0"/>
        <v>1</v>
      </c>
      <c r="G40" s="10"/>
      <c r="H40" s="10"/>
    </row>
    <row r="41" spans="1:9" x14ac:dyDescent="0.15">
      <c r="A41" s="6">
        <v>39</v>
      </c>
      <c r="B41" s="10" t="s">
        <v>108</v>
      </c>
      <c r="C41" s="10" t="s">
        <v>89</v>
      </c>
      <c r="D41" s="10" t="s">
        <v>40</v>
      </c>
      <c r="E41" s="11" t="s">
        <v>78</v>
      </c>
      <c r="F41" s="6">
        <f t="shared" si="0"/>
        <v>2</v>
      </c>
      <c r="G41" s="10"/>
      <c r="H41" s="10"/>
    </row>
    <row r="42" spans="1:9" x14ac:dyDescent="0.15">
      <c r="A42" s="6">
        <v>40</v>
      </c>
      <c r="B42" s="10" t="s">
        <v>108</v>
      </c>
      <c r="C42" s="10" t="s">
        <v>25</v>
      </c>
      <c r="D42" s="10" t="s">
        <v>26</v>
      </c>
      <c r="E42" s="11" t="s">
        <v>27</v>
      </c>
      <c r="F42" s="6">
        <f t="shared" si="0"/>
        <v>1</v>
      </c>
      <c r="G42" s="10"/>
      <c r="H42" s="10"/>
    </row>
    <row r="43" spans="1:9" x14ac:dyDescent="0.15">
      <c r="A43" s="6">
        <v>41</v>
      </c>
      <c r="B43" s="10" t="s">
        <v>110</v>
      </c>
      <c r="C43" s="10" t="s">
        <v>206</v>
      </c>
      <c r="D43" s="10" t="s">
        <v>39</v>
      </c>
      <c r="E43" s="11" t="s">
        <v>77</v>
      </c>
      <c r="F43" s="6">
        <f t="shared" si="0"/>
        <v>3</v>
      </c>
      <c r="G43" s="10"/>
      <c r="H43" s="10"/>
    </row>
    <row r="44" spans="1:9" x14ac:dyDescent="0.15">
      <c r="A44" s="6">
        <v>42</v>
      </c>
      <c r="B44" s="10" t="s">
        <v>111</v>
      </c>
      <c r="C44" s="10" t="s">
        <v>205</v>
      </c>
      <c r="D44" s="10" t="s">
        <v>41</v>
      </c>
      <c r="E44" s="11" t="s">
        <v>79</v>
      </c>
      <c r="F44" s="6">
        <f t="shared" si="0"/>
        <v>1</v>
      </c>
      <c r="G44" s="10"/>
      <c r="H44" s="10"/>
    </row>
    <row r="45" spans="1:9" x14ac:dyDescent="0.15">
      <c r="A45" s="6">
        <v>43</v>
      </c>
      <c r="B45" s="10" t="s">
        <v>112</v>
      </c>
      <c r="C45" s="10" t="s">
        <v>92</v>
      </c>
      <c r="D45" s="10" t="s">
        <v>42</v>
      </c>
      <c r="E45" s="11" t="s">
        <v>121</v>
      </c>
      <c r="F45" s="6">
        <f t="shared" si="0"/>
        <v>2</v>
      </c>
      <c r="G45" s="10"/>
      <c r="H45" s="10"/>
    </row>
    <row r="46" spans="1:9" x14ac:dyDescent="0.15">
      <c r="A46" s="6">
        <v>44</v>
      </c>
      <c r="B46" s="10" t="s">
        <v>109</v>
      </c>
      <c r="C46" s="10" t="s">
        <v>166</v>
      </c>
      <c r="D46" s="10" t="s">
        <v>167</v>
      </c>
      <c r="E46" s="11" t="s">
        <v>21</v>
      </c>
      <c r="F46" s="6">
        <f t="shared" si="0"/>
        <v>1</v>
      </c>
      <c r="G46" s="10"/>
      <c r="H46" s="10"/>
    </row>
    <row r="47" spans="1:9" x14ac:dyDescent="0.15">
      <c r="A47" s="6">
        <v>45</v>
      </c>
      <c r="B47" s="10" t="s">
        <v>113</v>
      </c>
      <c r="C47" s="10" t="s">
        <v>204</v>
      </c>
      <c r="D47" s="10" t="s">
        <v>28</v>
      </c>
      <c r="E47" s="11" t="s">
        <v>29</v>
      </c>
      <c r="F47" s="6">
        <f t="shared" si="0"/>
        <v>1</v>
      </c>
      <c r="G47" s="10"/>
      <c r="H47" s="10"/>
    </row>
    <row r="48" spans="1:9" x14ac:dyDescent="0.15">
      <c r="A48" s="6">
        <v>46</v>
      </c>
      <c r="B48" s="10" t="s">
        <v>114</v>
      </c>
      <c r="C48" s="10" t="s">
        <v>30</v>
      </c>
      <c r="D48" s="10" t="s">
        <v>31</v>
      </c>
      <c r="E48" s="11" t="s">
        <v>32</v>
      </c>
      <c r="F48" s="6">
        <f t="shared" si="0"/>
        <v>1</v>
      </c>
      <c r="G48" s="10"/>
      <c r="H48" s="10"/>
    </row>
    <row r="49" spans="1:9" x14ac:dyDescent="0.15">
      <c r="A49" s="6">
        <v>47</v>
      </c>
      <c r="B49" s="10" t="s">
        <v>115</v>
      </c>
      <c r="C49" s="10" t="s">
        <v>65</v>
      </c>
      <c r="D49" s="10" t="s">
        <v>37</v>
      </c>
      <c r="E49" s="11" t="s">
        <v>117</v>
      </c>
      <c r="F49" s="6">
        <f t="shared" si="0"/>
        <v>6</v>
      </c>
      <c r="G49" s="10"/>
      <c r="H49" s="10"/>
    </row>
    <row r="50" spans="1:9" x14ac:dyDescent="0.15">
      <c r="A50" s="6">
        <v>48</v>
      </c>
      <c r="B50" s="14" t="s">
        <v>118</v>
      </c>
      <c r="C50" s="18" t="s">
        <v>46</v>
      </c>
      <c r="D50" s="14" t="s">
        <v>47</v>
      </c>
      <c r="E50" s="15" t="s">
        <v>48</v>
      </c>
      <c r="F50" s="16">
        <f t="shared" ref="F50:F57" si="1">LEN(E50)-LEN(SUBSTITUTE(E50,",",""))+1</f>
        <v>1</v>
      </c>
      <c r="G50" s="14"/>
      <c r="H50" s="14"/>
    </row>
    <row r="51" spans="1:9" x14ac:dyDescent="0.15">
      <c r="A51" s="6">
        <v>49</v>
      </c>
      <c r="B51" s="14" t="s">
        <v>181</v>
      </c>
      <c r="C51" s="18" t="s">
        <v>182</v>
      </c>
      <c r="D51" s="14" t="s">
        <v>184</v>
      </c>
      <c r="E51" s="15" t="s">
        <v>183</v>
      </c>
      <c r="F51" s="16">
        <f t="shared" si="1"/>
        <v>1</v>
      </c>
      <c r="G51" s="14"/>
      <c r="H51" s="14"/>
      <c r="I51" t="s">
        <v>185</v>
      </c>
    </row>
    <row r="52" spans="1:9" x14ac:dyDescent="0.15">
      <c r="A52" s="6">
        <v>50</v>
      </c>
      <c r="B52" s="12" t="s">
        <v>145</v>
      </c>
      <c r="C52" s="17" t="s">
        <v>146</v>
      </c>
      <c r="D52" s="12" t="s">
        <v>147</v>
      </c>
      <c r="E52" s="13" t="s">
        <v>148</v>
      </c>
      <c r="F52" s="7">
        <f t="shared" si="1"/>
        <v>1</v>
      </c>
      <c r="G52" s="12" t="s">
        <v>203</v>
      </c>
      <c r="H52" s="12"/>
    </row>
    <row r="53" spans="1:9" x14ac:dyDescent="0.15">
      <c r="A53" s="6">
        <v>51</v>
      </c>
      <c r="B53" s="12" t="s">
        <v>119</v>
      </c>
      <c r="C53" s="17" t="s">
        <v>49</v>
      </c>
      <c r="D53" s="12" t="s">
        <v>50</v>
      </c>
      <c r="E53" s="13" t="s">
        <v>51</v>
      </c>
      <c r="F53" s="7">
        <f t="shared" si="1"/>
        <v>1</v>
      </c>
      <c r="G53" s="12" t="s">
        <v>200</v>
      </c>
      <c r="H53" s="12"/>
    </row>
    <row r="54" spans="1:9" x14ac:dyDescent="0.15">
      <c r="A54" s="6">
        <v>52</v>
      </c>
      <c r="B54" s="12" t="s">
        <v>116</v>
      </c>
      <c r="C54" s="17" t="s">
        <v>135</v>
      </c>
      <c r="D54" s="12" t="s">
        <v>72</v>
      </c>
      <c r="E54" s="13" t="s">
        <v>134</v>
      </c>
      <c r="F54" s="7">
        <f t="shared" si="1"/>
        <v>1</v>
      </c>
      <c r="G54" s="12" t="s">
        <v>200</v>
      </c>
      <c r="H54" s="12"/>
    </row>
    <row r="55" spans="1:9" x14ac:dyDescent="0.15">
      <c r="A55" s="6">
        <v>53</v>
      </c>
      <c r="B55" s="12" t="s">
        <v>131</v>
      </c>
      <c r="C55" s="12" t="s">
        <v>132</v>
      </c>
      <c r="D55" s="12" t="s">
        <v>72</v>
      </c>
      <c r="E55" s="13" t="s">
        <v>133</v>
      </c>
      <c r="F55" s="7">
        <f t="shared" si="1"/>
        <v>1</v>
      </c>
      <c r="G55" s="12" t="s">
        <v>200</v>
      </c>
      <c r="H55" s="12"/>
    </row>
    <row r="56" spans="1:9" x14ac:dyDescent="0.15">
      <c r="A56" s="6">
        <v>54</v>
      </c>
      <c r="B56" s="12" t="s">
        <v>120</v>
      </c>
      <c r="C56" s="17" t="s">
        <v>122</v>
      </c>
      <c r="D56" s="12" t="s">
        <v>44</v>
      </c>
      <c r="E56" s="13" t="s">
        <v>45</v>
      </c>
      <c r="F56" s="7">
        <f t="shared" si="1"/>
        <v>1</v>
      </c>
      <c r="G56" s="12" t="s">
        <v>202</v>
      </c>
      <c r="H56" s="12"/>
    </row>
    <row r="57" spans="1:9" x14ac:dyDescent="0.15">
      <c r="A57" s="6"/>
      <c r="B57" s="12" t="s">
        <v>131</v>
      </c>
      <c r="C57" s="12" t="s">
        <v>197</v>
      </c>
      <c r="D57" s="12" t="s">
        <v>198</v>
      </c>
      <c r="E57" s="13" t="s">
        <v>199</v>
      </c>
      <c r="F57" s="7">
        <f t="shared" si="1"/>
        <v>1</v>
      </c>
      <c r="G57" s="12" t="s">
        <v>200</v>
      </c>
      <c r="H57" s="12"/>
    </row>
    <row r="86" spans="2:9" x14ac:dyDescent="0.15">
      <c r="B86" s="8"/>
      <c r="D86" s="8"/>
      <c r="E86" s="8"/>
      <c r="F86" s="8"/>
      <c r="G86" s="8"/>
      <c r="H86" s="8"/>
      <c r="I86" s="8"/>
    </row>
    <row r="87" spans="2:9" x14ac:dyDescent="0.15">
      <c r="B87" s="8"/>
      <c r="D87" s="8"/>
      <c r="E87" s="8"/>
      <c r="F87" s="8"/>
      <c r="G87" s="8"/>
      <c r="H87" s="8"/>
      <c r="I87" s="8"/>
    </row>
    <row r="88" spans="2:9" x14ac:dyDescent="0.15">
      <c r="B88" s="8"/>
      <c r="D88" s="8"/>
      <c r="E88" s="8"/>
      <c r="F88" s="8"/>
      <c r="G88" s="8"/>
      <c r="H88" s="8"/>
      <c r="I88" s="8"/>
    </row>
    <row r="89" spans="2:9" x14ac:dyDescent="0.15">
      <c r="B89" s="8"/>
      <c r="D89" s="8"/>
      <c r="E89" s="8"/>
      <c r="F89" s="8"/>
      <c r="G89" s="8"/>
      <c r="H89" s="8"/>
      <c r="I89" s="8"/>
    </row>
    <row r="90" spans="2:9" x14ac:dyDescent="0.15">
      <c r="B90" s="8"/>
      <c r="D90" s="8"/>
      <c r="E90" s="8"/>
      <c r="F90" s="8"/>
      <c r="G90" s="8"/>
      <c r="H90" s="8"/>
      <c r="I90" s="8"/>
    </row>
    <row r="99" spans="2:5" x14ac:dyDescent="0.15">
      <c r="B99" s="5"/>
      <c r="C99" s="5"/>
      <c r="D99" s="5"/>
      <c r="E99" s="5"/>
    </row>
    <row r="100" spans="2:5" x14ac:dyDescent="0.15">
      <c r="B100" s="5"/>
      <c r="C100" s="5"/>
      <c r="D100" s="5"/>
      <c r="E100" s="5"/>
    </row>
    <row r="101" spans="2:5" x14ac:dyDescent="0.15">
      <c r="B101" s="5"/>
      <c r="C101" s="5"/>
      <c r="D101" s="5"/>
      <c r="E101" s="5"/>
    </row>
    <row r="102" spans="2:5" x14ac:dyDescent="0.15">
      <c r="B102" s="5"/>
      <c r="C102" s="5"/>
      <c r="D102" s="5"/>
      <c r="E102" s="5"/>
    </row>
    <row r="103" spans="2:5" x14ac:dyDescent="0.15">
      <c r="B103" s="5"/>
      <c r="C103" s="5"/>
      <c r="D103" s="5"/>
      <c r="E103" s="5"/>
    </row>
    <row r="104" spans="2:5" x14ac:dyDescent="0.15">
      <c r="B104" s="5"/>
      <c r="C104" s="5"/>
      <c r="D104" s="5"/>
      <c r="E104" s="5"/>
    </row>
    <row r="105" spans="2:5" x14ac:dyDescent="0.15">
      <c r="B105" s="5"/>
      <c r="C105" s="5"/>
      <c r="D105" s="5"/>
      <c r="E105" s="5"/>
    </row>
    <row r="106" spans="2:5" x14ac:dyDescent="0.15">
      <c r="B106" s="5"/>
      <c r="C106" s="5"/>
      <c r="D106" s="5"/>
      <c r="E106" s="5"/>
    </row>
    <row r="107" spans="2:5" x14ac:dyDescent="0.15">
      <c r="B107" s="5"/>
      <c r="C107" s="5"/>
      <c r="D107" s="5"/>
      <c r="E107" s="5"/>
    </row>
    <row r="108" spans="2:5" x14ac:dyDescent="0.15">
      <c r="B108" s="5"/>
      <c r="C108" s="5"/>
      <c r="D108" s="5"/>
      <c r="E108" s="5"/>
    </row>
  </sheetData>
  <phoneticPr fontId="1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O27" sqref="O27"/>
    </sheetView>
  </sheetViews>
  <sheetFormatPr defaultRowHeight="13.5" x14ac:dyDescent="0.15"/>
  <sheetData>
    <row r="1" spans="1:8" x14ac:dyDescent="0.15">
      <c r="A1" s="6">
        <v>63</v>
      </c>
      <c r="B1" s="10"/>
      <c r="C1" s="10" t="s">
        <v>94</v>
      </c>
      <c r="D1" s="10" t="s">
        <v>38</v>
      </c>
      <c r="E1" s="11" t="s">
        <v>95</v>
      </c>
      <c r="F1" s="6">
        <v>1</v>
      </c>
      <c r="G1" s="10"/>
      <c r="H1" s="10"/>
    </row>
    <row r="2" spans="1:8" x14ac:dyDescent="0.15">
      <c r="A2" s="6">
        <v>60</v>
      </c>
      <c r="B2" s="10"/>
      <c r="C2" s="10" t="s">
        <v>90</v>
      </c>
      <c r="D2" s="10" t="s">
        <v>38</v>
      </c>
      <c r="E2" s="11" t="s">
        <v>91</v>
      </c>
      <c r="F2" s="6">
        <v>1</v>
      </c>
      <c r="G2" s="10"/>
      <c r="H2" s="10"/>
    </row>
    <row r="3" spans="1:8" x14ac:dyDescent="0.15">
      <c r="A3" s="6">
        <v>56</v>
      </c>
      <c r="B3" s="10"/>
      <c r="C3" s="10" t="s">
        <v>75</v>
      </c>
      <c r="D3" s="10" t="s">
        <v>10</v>
      </c>
      <c r="E3" s="11" t="s">
        <v>76</v>
      </c>
      <c r="F3" s="6">
        <v>2</v>
      </c>
      <c r="G3" s="10"/>
      <c r="H3" s="10"/>
    </row>
    <row r="4" spans="1:8" x14ac:dyDescent="0.15">
      <c r="A4" s="6">
        <v>54</v>
      </c>
      <c r="B4" s="10"/>
      <c r="C4" s="10" t="s">
        <v>55</v>
      </c>
      <c r="D4" s="10" t="s">
        <v>38</v>
      </c>
      <c r="E4" s="11" t="s">
        <v>74</v>
      </c>
      <c r="F4" s="6">
        <v>2</v>
      </c>
      <c r="G4" s="10"/>
      <c r="H4" s="10"/>
    </row>
    <row r="5" spans="1:8" x14ac:dyDescent="0.15">
      <c r="A5" s="6">
        <v>38</v>
      </c>
      <c r="B5" s="10"/>
      <c r="C5" s="10" t="s">
        <v>36</v>
      </c>
      <c r="D5" s="10" t="s">
        <v>10</v>
      </c>
      <c r="E5" s="11" t="s">
        <v>64</v>
      </c>
      <c r="F5" s="6">
        <v>1</v>
      </c>
      <c r="G5" s="10"/>
      <c r="H5" s="10"/>
    </row>
    <row r="6" spans="1:8" x14ac:dyDescent="0.15">
      <c r="A6" s="6">
        <v>35</v>
      </c>
      <c r="B6" s="10"/>
      <c r="C6" s="10" t="s">
        <v>35</v>
      </c>
      <c r="D6" s="10" t="s">
        <v>12</v>
      </c>
      <c r="E6" s="11" t="s">
        <v>63</v>
      </c>
      <c r="F6" s="6">
        <v>1</v>
      </c>
      <c r="G6" s="10"/>
      <c r="H6" s="10"/>
    </row>
    <row r="7" spans="1:8" x14ac:dyDescent="0.15">
      <c r="A7" s="6">
        <v>7</v>
      </c>
      <c r="B7" s="10"/>
      <c r="C7" s="10" t="s">
        <v>11</v>
      </c>
      <c r="D7" s="10" t="s">
        <v>10</v>
      </c>
      <c r="E7" s="11" t="s">
        <v>57</v>
      </c>
      <c r="F7" s="6">
        <v>1</v>
      </c>
      <c r="G7" s="10"/>
      <c r="H7" s="10"/>
    </row>
    <row r="8" spans="1:8" x14ac:dyDescent="0.15">
      <c r="A8" s="6">
        <v>4</v>
      </c>
      <c r="B8" s="10"/>
      <c r="C8" s="10" t="s">
        <v>55</v>
      </c>
      <c r="D8" s="10" t="s">
        <v>10</v>
      </c>
      <c r="E8" s="11" t="s">
        <v>56</v>
      </c>
      <c r="F8" s="6">
        <v>4</v>
      </c>
      <c r="G8" s="10"/>
      <c r="H8" s="10"/>
    </row>
    <row r="9" spans="1:8" x14ac:dyDescent="0.15">
      <c r="A9" s="6">
        <v>12</v>
      </c>
      <c r="B9" s="10"/>
      <c r="C9" s="10" t="s">
        <v>58</v>
      </c>
      <c r="D9" s="10" t="s">
        <v>13</v>
      </c>
      <c r="E9" s="11" t="s">
        <v>59</v>
      </c>
      <c r="F9" s="6">
        <v>4</v>
      </c>
      <c r="G9" s="10"/>
      <c r="H9" s="10"/>
    </row>
    <row r="10" spans="1:8" x14ac:dyDescent="0.15">
      <c r="A10" s="6">
        <v>13</v>
      </c>
      <c r="B10" s="10"/>
      <c r="C10" s="10" t="s">
        <v>60</v>
      </c>
      <c r="D10" s="10" t="s">
        <v>14</v>
      </c>
      <c r="E10" s="11" t="s">
        <v>61</v>
      </c>
      <c r="F10" s="6">
        <v>2</v>
      </c>
      <c r="G10" s="10"/>
      <c r="H10" s="10"/>
    </row>
    <row r="11" spans="1:8" x14ac:dyDescent="0.15">
      <c r="A11" s="6">
        <v>62</v>
      </c>
      <c r="B11" s="10"/>
      <c r="C11" s="10" t="s">
        <v>58</v>
      </c>
      <c r="D11" s="10" t="s">
        <v>43</v>
      </c>
      <c r="E11" s="11" t="s">
        <v>93</v>
      </c>
      <c r="F11" s="6">
        <v>1</v>
      </c>
      <c r="G11" s="10"/>
      <c r="H11" s="10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SSC309-S01C-D2-MAINBOARD_BOM_20</vt:lpstr>
      <vt:lpstr>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yuchen.qian(钱超)</dc:creator>
  <cp:lastModifiedBy>yuchen.qian(钱超)</cp:lastModifiedBy>
  <dcterms:created xsi:type="dcterms:W3CDTF">2025-10-28T04:30:42Z</dcterms:created>
  <dcterms:modified xsi:type="dcterms:W3CDTF">2026-04-14T04:00:41Z</dcterms:modified>
</cp:coreProperties>
</file>